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аза кормів" sheetId="1" state="visible" r:id="rId1"/>
    <sheet xmlns:r="http://schemas.openxmlformats.org/officeDocument/2006/relationships" name="Довідник_мінералів" sheetId="2" state="visible" r:id="rId2"/>
    <sheet xmlns:r="http://schemas.openxmlformats.org/officeDocument/2006/relationships" name="Інструкція"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0"/>
    </font>
    <font>
      <name val="Arial"/>
      <b val="1"/>
      <color rgb="002C3E2D"/>
      <sz val="9"/>
    </font>
    <font>
      <name val="Arial"/>
      <b val="1"/>
      <color rgb="00FFFFFF"/>
      <sz val="11"/>
    </font>
    <font>
      <name val="Arial"/>
      <b val="1"/>
      <color rgb="007B3F00"/>
      <sz val="10"/>
    </font>
    <font>
      <name val="Arial"/>
      <sz val="10"/>
    </font>
    <font>
      <name val="Arial"/>
      <b val="1"/>
      <sz val="10"/>
    </font>
    <font>
      <name val="Arial"/>
      <b val="1"/>
      <color rgb="002C3E2D"/>
      <sz val="14"/>
    </font>
    <font>
      <name val="Arial"/>
      <color rgb="00000000"/>
      <sz val="11"/>
    </font>
    <font>
      <name val="Arial"/>
      <b val="1"/>
      <color rgb="001565C0"/>
      <sz val="12"/>
    </font>
    <font>
      <name val="Arial"/>
      <b val="1"/>
      <color rgb="002C3E2D"/>
      <sz val="11"/>
    </font>
    <font>
      <name val="Arial"/>
      <color rgb="00000000"/>
      <sz val="10"/>
    </font>
    <font>
      <name val="Arial"/>
      <b val="1"/>
      <color rgb="001565C0"/>
      <sz val="11"/>
    </font>
    <font>
      <name val="Arial"/>
      <b val="1"/>
      <color rgb="004A148C"/>
      <sz val="11"/>
    </font>
    <font>
      <name val="Arial"/>
      <b val="1"/>
      <color rgb="00BF360C"/>
      <sz val="11"/>
    </font>
    <font>
      <name val="Arial"/>
      <b val="1"/>
      <color rgb="00BF360C"/>
      <sz val="12"/>
    </font>
    <font>
      <name val="Arial"/>
      <b val="1"/>
      <color rgb="00C62828"/>
      <sz val="11"/>
    </font>
    <font>
      <name val="Arial"/>
      <sz val="9"/>
    </font>
  </fonts>
  <fills count="22">
    <fill>
      <patternFill/>
    </fill>
    <fill>
      <patternFill patternType="gray125"/>
    </fill>
    <fill>
      <patternFill patternType="solid">
        <fgColor rgb="002C3E2D"/>
      </patternFill>
    </fill>
    <fill>
      <patternFill patternType="solid">
        <fgColor rgb="001565C0"/>
      </patternFill>
    </fill>
    <fill>
      <patternFill patternType="solid">
        <fgColor rgb="000D47A1"/>
      </patternFill>
    </fill>
    <fill>
      <patternFill patternType="solid">
        <fgColor rgb="004A148C"/>
      </patternFill>
    </fill>
    <fill>
      <patternFill patternType="solid">
        <fgColor rgb="00880E4F"/>
      </patternFill>
    </fill>
    <fill>
      <patternFill patternType="solid">
        <fgColor rgb="00BF360C"/>
      </patternFill>
    </fill>
    <fill>
      <patternFill patternType="solid">
        <fgColor rgb="0037474F"/>
      </patternFill>
    </fill>
    <fill>
      <patternFill patternType="solid">
        <fgColor rgb="00E8F5E9"/>
      </patternFill>
    </fill>
    <fill>
      <patternFill patternType="solid">
        <fgColor rgb="00F9FBF9"/>
      </patternFill>
    </fill>
    <fill>
      <patternFill patternType="solid">
        <fgColor rgb="00FFF3CD"/>
      </patternFill>
    </fill>
    <fill>
      <patternFill patternType="solid">
        <fgColor rgb="00FFEBEE"/>
      </patternFill>
    </fill>
    <fill>
      <patternFill patternType="solid">
        <fgColor rgb="00FFF3E0"/>
      </patternFill>
    </fill>
    <fill>
      <patternFill patternType="solid">
        <fgColor rgb="00FFF9C4"/>
      </patternFill>
    </fill>
    <fill>
      <patternFill patternType="solid">
        <fgColor rgb="00E0F2F1"/>
      </patternFill>
    </fill>
    <fill>
      <patternFill patternType="solid">
        <fgColor rgb="00E3F2FD"/>
      </patternFill>
    </fill>
    <fill>
      <patternFill patternType="solid">
        <fgColor rgb="00F3E5F5"/>
      </patternFill>
    </fill>
    <fill>
      <patternFill patternType="solid">
        <fgColor rgb="00E0F7FA"/>
      </patternFill>
    </fill>
    <fill>
      <patternFill patternType="solid">
        <fgColor rgb="00EBF5EB"/>
      </patternFill>
    </fill>
    <fill>
      <patternFill patternType="solid">
        <fgColor rgb="00E8EAF6"/>
      </patternFill>
    </fill>
    <fill>
      <patternFill patternType="solid">
        <f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2" fillId="9" borderId="1" applyAlignment="1" pivotButton="0" quotePrefix="0" xfId="0">
      <alignment horizontal="center" vertical="center" wrapText="1"/>
    </xf>
    <xf numFmtId="0" fontId="0" fillId="10" borderId="0" pivotButton="0" quotePrefix="0" xfId="0"/>
    <xf numFmtId="0" fontId="3" fillId="7" borderId="0" applyAlignment="1" pivotButton="0" quotePrefix="0" xfId="0">
      <alignment horizontal="center" vertical="center"/>
    </xf>
    <xf numFmtId="0" fontId="4" fillId="11" borderId="1" applyAlignment="1" pivotButton="0" quotePrefix="0" xfId="0">
      <alignment horizontal="center"/>
    </xf>
    <xf numFmtId="0" fontId="5" fillId="12" borderId="1" applyAlignment="1" pivotButton="0" quotePrefix="0" xfId="0">
      <alignment vertical="center"/>
    </xf>
    <xf numFmtId="0" fontId="5" fillId="12" borderId="1" applyAlignment="1" pivotButton="0" quotePrefix="0" xfId="0">
      <alignment horizontal="center"/>
    </xf>
    <xf numFmtId="0" fontId="6" fillId="12" borderId="1" applyAlignment="1" pivotButton="0" quotePrefix="0" xfId="0">
      <alignment vertical="center"/>
    </xf>
    <xf numFmtId="0" fontId="5" fillId="13" borderId="1" applyAlignment="1" pivotButton="0" quotePrefix="0" xfId="0">
      <alignment vertical="center"/>
    </xf>
    <xf numFmtId="0" fontId="5" fillId="13" borderId="1" applyAlignment="1" pivotButton="0" quotePrefix="0" xfId="0">
      <alignment horizontal="center"/>
    </xf>
    <xf numFmtId="0" fontId="6" fillId="13" borderId="1" applyAlignment="1" pivotButton="0" quotePrefix="0" xfId="0">
      <alignment vertical="center"/>
    </xf>
    <xf numFmtId="0" fontId="5" fillId="14" borderId="1" applyAlignment="1" pivotButton="0" quotePrefix="0" xfId="0">
      <alignment vertical="center"/>
    </xf>
    <xf numFmtId="0" fontId="5" fillId="14" borderId="1" applyAlignment="1" pivotButton="0" quotePrefix="0" xfId="0">
      <alignment horizontal="center"/>
    </xf>
    <xf numFmtId="0" fontId="6" fillId="14" borderId="1" applyAlignment="1" pivotButton="0" quotePrefix="0" xfId="0">
      <alignment vertical="center"/>
    </xf>
    <xf numFmtId="0" fontId="5" fillId="9" borderId="1" applyAlignment="1" pivotButton="0" quotePrefix="0" xfId="0">
      <alignment vertical="center"/>
    </xf>
    <xf numFmtId="0" fontId="5" fillId="9" borderId="1" applyAlignment="1" pivotButton="0" quotePrefix="0" xfId="0">
      <alignment horizontal="center"/>
    </xf>
    <xf numFmtId="0" fontId="6" fillId="9" borderId="1" applyAlignment="1" pivotButton="0" quotePrefix="0" xfId="0">
      <alignment vertical="center"/>
    </xf>
    <xf numFmtId="0" fontId="5" fillId="15" borderId="1" applyAlignment="1" pivotButton="0" quotePrefix="0" xfId="0">
      <alignment vertical="center"/>
    </xf>
    <xf numFmtId="0" fontId="5" fillId="15" borderId="1" applyAlignment="1" pivotButton="0" quotePrefix="0" xfId="0">
      <alignment horizontal="center"/>
    </xf>
    <xf numFmtId="0" fontId="6" fillId="15" borderId="1" applyAlignment="1" pivotButton="0" quotePrefix="0" xfId="0">
      <alignment vertical="center"/>
    </xf>
    <xf numFmtId="0" fontId="5" fillId="16" borderId="1" applyAlignment="1" pivotButton="0" quotePrefix="0" xfId="0">
      <alignment vertical="center"/>
    </xf>
    <xf numFmtId="0" fontId="5" fillId="16" borderId="1" applyAlignment="1" pivotButton="0" quotePrefix="0" xfId="0">
      <alignment horizontal="center"/>
    </xf>
    <xf numFmtId="0" fontId="6" fillId="16" borderId="1" applyAlignment="1" pivotButton="0" quotePrefix="0" xfId="0">
      <alignment vertical="center"/>
    </xf>
    <xf numFmtId="0" fontId="5" fillId="17" borderId="1" applyAlignment="1" pivotButton="0" quotePrefix="0" xfId="0">
      <alignment vertical="center"/>
    </xf>
    <xf numFmtId="0" fontId="5" fillId="17" borderId="1" applyAlignment="1" pivotButton="0" quotePrefix="0" xfId="0">
      <alignment horizontal="center"/>
    </xf>
    <xf numFmtId="0" fontId="6" fillId="17" borderId="1" applyAlignment="1" pivotButton="0" quotePrefix="0" xfId="0">
      <alignment vertical="center"/>
    </xf>
    <xf numFmtId="0" fontId="5" fillId="18" borderId="1" applyAlignment="1" pivotButton="0" quotePrefix="0" xfId="0">
      <alignment vertical="center"/>
    </xf>
    <xf numFmtId="0" fontId="5" fillId="18" borderId="1" applyAlignment="1" pivotButton="0" quotePrefix="0" xfId="0">
      <alignment horizontal="center"/>
    </xf>
    <xf numFmtId="0" fontId="6" fillId="18" borderId="1" applyAlignment="1" pivotButton="0" quotePrefix="0" xfId="0">
      <alignment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7" fillId="0" borderId="1" applyAlignment="1" pivotButton="0" quotePrefix="0" xfId="0">
      <alignment vertical="center" wrapText="1"/>
    </xf>
    <xf numFmtId="0" fontId="17" fillId="10" borderId="1" applyAlignment="1" pivotButton="0" quotePrefix="0" xfId="0">
      <alignment vertical="center" wrapText="1"/>
    </xf>
    <xf numFmtId="0" fontId="17" fillId="19" borderId="1" applyAlignment="1" pivotButton="0" quotePrefix="0" xfId="0">
      <alignment vertical="center" wrapText="1"/>
    </xf>
    <xf numFmtId="0" fontId="17" fillId="13" borderId="1" applyAlignment="1" pivotButton="0" quotePrefix="0" xfId="0">
      <alignment vertical="center" wrapText="1"/>
    </xf>
    <xf numFmtId="0" fontId="17" fillId="20" borderId="1" applyAlignment="1" pivotButton="0" quotePrefix="0" xfId="0">
      <alignment vertical="center" wrapText="1"/>
    </xf>
    <xf numFmtId="0" fontId="17" fillId="21" borderId="1" applyAlignment="1" pivotButton="0" quotePrefix="0" xfId="0">
      <alignment vertical="center" wrapText="1"/>
    </xf>
    <xf numFmtId="0" fontId="17" fillId="9" borderId="1" applyAlignment="1" pivotButton="0" quotePrefix="0" xfId="0">
      <alignment vertical="center" wrapText="1"/>
    </xf>
    <xf numFmtId="0" fontId="17" fillId="1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2"/>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18" customWidth="1" min="3" max="3"/>
    <col width="32" customWidth="1" min="4" max="4"/>
    <col width="10" customWidth="1" min="5" max="5"/>
    <col width="10" customWidth="1" min="6" max="6"/>
    <col width="18" customWidth="1" min="7" max="7"/>
    <col width="10" customWidth="1" min="8" max="8"/>
    <col width="30" customWidth="1" min="9" max="9"/>
    <col width="14" customWidth="1" min="10" max="10"/>
    <col width="12" customWidth="1" min="11" max="11"/>
    <col width="16" customWidth="1" min="12" max="12"/>
    <col width="12" customWidth="1" min="13" max="13"/>
    <col width="12" customWidth="1" min="14" max="14"/>
    <col width="14" customWidth="1" min="15" max="15"/>
    <col width="12" customWidth="1" min="16" max="16"/>
    <col width="16" customWidth="1" min="17" max="17"/>
    <col width="12" customWidth="1" min="18" max="18"/>
    <col width="50" customWidth="1" min="19" max="19"/>
    <col width="18" customWidth="1" min="20" max="20"/>
    <col width="18" customWidth="1" min="21" max="21"/>
    <col width="18" customWidth="1" min="22" max="22"/>
    <col width="12" customWidth="1" min="23" max="23"/>
    <col width="12" customWidth="1" min="24" max="24"/>
    <col width="12" customWidth="1" min="25" max="25"/>
    <col width="12" customWidth="1" min="26" max="26"/>
    <col width="14" customWidth="1" min="27" max="27"/>
    <col width="10" customWidth="1" min="28" max="28"/>
    <col width="10" customWidth="1" min="29" max="29"/>
    <col width="10" customWidth="1" min="30" max="30"/>
    <col width="12" customWidth="1" min="31" max="31"/>
    <col width="16" customWidth="1" min="32" max="32"/>
    <col width="18" customWidth="1" min="33" max="33"/>
    <col width="12" customWidth="1" min="34" max="34"/>
    <col width="18" customWidth="1" min="35" max="35"/>
    <col width="12" customWidth="1" min="36" max="36"/>
    <col width="14" customWidth="1" min="37" max="37"/>
    <col width="16" customWidth="1" min="38" max="38"/>
    <col width="18" customWidth="1" min="39" max="39"/>
    <col width="12" customWidth="1" min="40" max="40"/>
    <col width="18" customWidth="1" min="41" max="41"/>
    <col width="12" customWidth="1" min="42" max="42"/>
    <col width="14" customWidth="1" min="43" max="43"/>
    <col width="14" customWidth="1" min="44" max="44"/>
    <col width="18" customWidth="1" min="45" max="45"/>
    <col width="12" customWidth="1" min="46" max="46"/>
    <col width="14" customWidth="1" min="47" max="47"/>
    <col width="14" customWidth="1" min="48" max="48"/>
    <col width="18" customWidth="1" min="49" max="49"/>
    <col width="12" customWidth="1" min="50" max="50"/>
    <col width="14" customWidth="1" min="51" max="51"/>
    <col width="10" customWidth="1" min="52" max="52"/>
    <col width="18" customWidth="1" min="53" max="53"/>
    <col width="14" customWidth="1" min="54" max="54"/>
    <col width="10" customWidth="1" min="55" max="55"/>
    <col width="30" customWidth="1" min="56" max="56"/>
  </cols>
  <sheetData>
    <row r="1" ht="28" customHeight="1">
      <c r="A1" s="1" t="inlineStr">
        <is>
          <t>🏷️ ОСНОВНА ІНФОРМАЦІЯ</t>
        </is>
      </c>
      <c r="J1" s="2" t="inlineStr">
        <is>
          <t>📊 АНАЛІТИЧНИЙ СКЛАД (as fed)</t>
        </is>
      </c>
      <c r="O1" s="3" t="inlineStr">
        <is>
          <t>📊 СКЛАД (на суху речовину DM)</t>
        </is>
      </c>
      <c r="S1" s="4" t="inlineStr">
        <is>
          <t>🧪 ІНГРЕДІЄНТИ / БІЛОК</t>
        </is>
      </c>
      <c r="W1" s="5" t="inlineStr">
        <is>
          <t>💊 ВІТАМІНИ</t>
        </is>
      </c>
      <c r="AF1" s="6" t="inlineStr">
        <is>
          <t>⚗️ МІНЕРАЛИ (форма + засвоєння)</t>
        </is>
      </c>
      <c r="BC1" s="7" t="inlineStr">
        <is>
          <t>📝 ІНШЕ</t>
        </is>
      </c>
    </row>
    <row r="2" ht="40" customHeight="1">
      <c r="A2" s="8" t="inlineStr">
        <is>
          <t>ID</t>
        </is>
      </c>
      <c r="B2" s="8" t="inlineStr">
        <is>
          <t>Бренд</t>
        </is>
      </c>
      <c r="C2" s="8" t="inlineStr">
        <is>
          <t>Лінійка</t>
        </is>
      </c>
      <c r="D2" s="8" t="inlineStr">
        <is>
          <t>Назва корму</t>
        </is>
      </c>
      <c r="E2" s="8" t="inlineStr">
        <is>
          <t>Тип</t>
        </is>
      </c>
      <c r="F2" s="8" t="inlineStr">
        <is>
          <t>Для кого</t>
        </is>
      </c>
      <c r="G2" s="8" t="inlineStr">
        <is>
          <t>Призначення</t>
        </is>
      </c>
      <c r="H2" s="8" t="inlineStr">
        <is>
          <t>ккал/кг</t>
        </is>
      </c>
      <c r="I2" s="8" t="inlineStr">
        <is>
          <t>URL джерела</t>
        </is>
      </c>
      <c r="J2" s="8" t="inlineStr">
        <is>
          <t>Білок % (as fed)</t>
        </is>
      </c>
      <c r="K2" s="8" t="inlineStr">
        <is>
          <t>Жир % (as fed)</t>
        </is>
      </c>
      <c r="L2" s="8" t="inlineStr">
        <is>
          <t>Клітковина % (as fed)</t>
        </is>
      </c>
      <c r="M2" s="8" t="inlineStr">
        <is>
          <t>Зола % (as fed)</t>
        </is>
      </c>
      <c r="N2" s="8" t="inlineStr">
        <is>
          <t>Вологість %</t>
        </is>
      </c>
      <c r="O2" s="8" t="inlineStr">
        <is>
          <t>Білок % (DM)</t>
        </is>
      </c>
      <c r="P2" s="8" t="inlineStr">
        <is>
          <t>Жир % (DM)</t>
        </is>
      </c>
      <c r="Q2" s="8" t="inlineStr">
        <is>
          <t>Клітковина % (DM)</t>
        </is>
      </c>
      <c r="R2" s="8" t="inlineStr">
        <is>
          <t>Зола % (DM)</t>
        </is>
      </c>
      <c r="S2" s="8" t="inlineStr">
        <is>
          <t>Повний склад</t>
        </is>
      </c>
      <c r="T2" s="8" t="inlineStr">
        <is>
          <t>Джерело білка 1</t>
        </is>
      </c>
      <c r="U2" s="8" t="inlineStr">
        <is>
          <t>Джерело білка 2</t>
        </is>
      </c>
      <c r="V2" s="8" t="inlineStr">
        <is>
          <t>Джерело білка 3</t>
        </is>
      </c>
      <c r="W2" s="8" t="inlineStr">
        <is>
          <t>Віт A (МО/кг)</t>
        </is>
      </c>
      <c r="X2" s="8" t="inlineStr">
        <is>
          <t>Віт D3 (МО/кг)</t>
        </is>
      </c>
      <c r="Y2" s="8" t="inlineStr">
        <is>
          <t>Віт E (мг/кг)</t>
        </is>
      </c>
      <c r="Z2" s="8" t="inlineStr">
        <is>
          <t>Віт C (мг/кг)</t>
        </is>
      </c>
      <c r="AA2" s="8" t="inlineStr">
        <is>
          <t>Таурин (мг/кг)</t>
        </is>
      </c>
      <c r="AB2" s="8" t="inlineStr">
        <is>
          <t>B1 (мг/кг)</t>
        </is>
      </c>
      <c r="AC2" s="8" t="inlineStr">
        <is>
          <t>B2 (мг/кг)</t>
        </is>
      </c>
      <c r="AD2" s="8" t="inlineStr">
        <is>
          <t>B6 (мг/кг)</t>
        </is>
      </c>
      <c r="AE2" s="8" t="inlineStr">
        <is>
          <t>B12 (мкг/кг)</t>
        </is>
      </c>
      <c r="AF2" s="8" t="inlineStr">
        <is>
          <t>Zn загальний (мг/кг)</t>
        </is>
      </c>
      <c r="AG2" s="8" t="inlineStr">
        <is>
          <t>Zn форма 1</t>
        </is>
      </c>
      <c r="AH2" s="8" t="inlineStr">
        <is>
          <t>Zn % форми 1</t>
        </is>
      </c>
      <c r="AI2" s="8" t="inlineStr">
        <is>
          <t>Zn форма 2</t>
        </is>
      </c>
      <c r="AJ2" s="8" t="inlineStr">
        <is>
          <t>Zn % форми 2</t>
        </is>
      </c>
      <c r="AK2" s="8" t="inlineStr">
        <is>
          <t>Zn засвоєння %</t>
        </is>
      </c>
      <c r="AL2" s="8" t="inlineStr">
        <is>
          <t>Fe загальний (мг/кг)</t>
        </is>
      </c>
      <c r="AM2" s="8" t="inlineStr">
        <is>
          <t>Fe форма 1</t>
        </is>
      </c>
      <c r="AN2" s="8" t="inlineStr">
        <is>
          <t>Fe % форми 1</t>
        </is>
      </c>
      <c r="AO2" s="8" t="inlineStr">
        <is>
          <t>Fe форма 2</t>
        </is>
      </c>
      <c r="AP2" s="8" t="inlineStr">
        <is>
          <t>Fe % форми 2</t>
        </is>
      </c>
      <c r="AQ2" s="8" t="inlineStr">
        <is>
          <t>Fe засвоєння %</t>
        </is>
      </c>
      <c r="AR2" s="8" t="inlineStr">
        <is>
          <t>Cu загальний (мг/кг)</t>
        </is>
      </c>
      <c r="AS2" s="8" t="inlineStr">
        <is>
          <t>Cu форма 1</t>
        </is>
      </c>
      <c r="AT2" s="8" t="inlineStr">
        <is>
          <t>Cu % форми 1</t>
        </is>
      </c>
      <c r="AU2" s="8" t="inlineStr">
        <is>
          <t>Cu засвоєння %</t>
        </is>
      </c>
      <c r="AV2" s="8" t="inlineStr">
        <is>
          <t>Mn загальний (мг/кг)</t>
        </is>
      </c>
      <c r="AW2" s="8" t="inlineStr">
        <is>
          <t>Mn форма 1</t>
        </is>
      </c>
      <c r="AX2" s="8" t="inlineStr">
        <is>
          <t>Mn % форми 1</t>
        </is>
      </c>
      <c r="AY2" s="8" t="inlineStr">
        <is>
          <t>Mn засвоєння %</t>
        </is>
      </c>
      <c r="AZ2" s="8" t="inlineStr">
        <is>
          <t>Se (мг/кг)</t>
        </is>
      </c>
      <c r="BA2" s="8" t="inlineStr">
        <is>
          <t>Se форма</t>
        </is>
      </c>
      <c r="BB2" s="8" t="inlineStr">
        <is>
          <t>Se засвоєння %</t>
        </is>
      </c>
      <c r="BC2" s="8" t="inlineStr">
        <is>
          <t>I (мг/кг)</t>
        </is>
      </c>
      <c r="BD2" s="8" t="inlineStr">
        <is>
          <t>Примітки</t>
        </is>
      </c>
    </row>
    <row r="3" ht="35" customHeight="1">
      <c r="A3" s="46" t="inlineStr">
        <is>
          <t>rc_sterilised37_dry_cat</t>
        </is>
      </c>
      <c r="B3" s="46" t="inlineStr">
        <is>
          <t>Royal Canin</t>
        </is>
      </c>
      <c r="C3" s="46" t="inlineStr">
        <is>
          <t>Sterilised</t>
        </is>
      </c>
      <c r="D3" s="46" t="inlineStr">
        <is>
          <t>Sterilised 37 (сухий)</t>
        </is>
      </c>
      <c r="E3" s="46" t="inlineStr">
        <is>
          <t>сухий</t>
        </is>
      </c>
      <c r="F3" s="46" t="inlineStr">
        <is>
          <t>кіт</t>
        </is>
      </c>
      <c r="G3" s="46" t="inlineStr">
        <is>
          <t>стерилізовані</t>
        </is>
      </c>
      <c r="H3" s="46" t="n">
        <v>363</v>
      </c>
      <c r="I3" s="46" t="inlineStr">
        <is>
          <t>https://www.royalcanin.com/ua/cats/products/retail-products/sterilised-37-dry</t>
        </is>
      </c>
      <c r="J3" s="46" t="n">
        <v>37</v>
      </c>
      <c r="K3" s="46" t="n">
        <v>12</v>
      </c>
      <c r="L3" s="46" t="n">
        <v>6.2</v>
      </c>
      <c r="M3" s="46" t="n">
        <v>8.199999999999999</v>
      </c>
      <c r="N3" s="46" t="n">
        <v>5.5</v>
      </c>
      <c r="O3">
        <f>IF(J3="","",ROUND(J3/(1-N3/100),1))</f>
        <v/>
      </c>
      <c r="P3">
        <f>IF(K3="","",ROUND(K3/(1-N3/100),1))</f>
        <v/>
      </c>
      <c r="Q3">
        <f>IF(L3="","",ROUND(L3/(1-N3/100),1))</f>
        <v/>
      </c>
      <c r="R3">
        <f>IF(M3="","",ROUND(M3/(1-N3/100),1))</f>
        <v/>
      </c>
      <c r="S3" s="46" t="inlineStr">
        <is>
          <t>Дегідратовані протеїни м'яса птиці, кукурудза, ізолят рослинних протеїнів (L.I.P.), рослинна клітковина, тваринні жири, гідролізат білків тваринного походження, рис, пшениця, буряковий жом, кукурудзяний глютен, дріжджі та їх частки, мінеральні речовини, риб'ячий жир, фруктоолігосахариди, соєва олія</t>
        </is>
      </c>
      <c r="T3" s="46" t="inlineStr">
        <is>
          <t>дегідратовані протеїни м'яса птиці</t>
        </is>
      </c>
      <c r="U3" s="46" t="inlineStr">
        <is>
          <t>ізолят рослинних протеїнів (L.I.P.)</t>
        </is>
      </c>
      <c r="V3" s="46" t="inlineStr">
        <is>
          <t>гідролізат білків тваринного походження</t>
        </is>
      </c>
      <c r="W3" s="46" t="n">
        <v>19000</v>
      </c>
      <c r="X3" s="46" t="n">
        <v>1000</v>
      </c>
      <c r="Y3" s="46" t="n"/>
      <c r="Z3" s="46" t="n"/>
      <c r="AA3" s="46" t="n"/>
      <c r="AB3" s="46" t="n"/>
      <c r="AC3" s="46" t="n"/>
      <c r="AD3" s="46" t="n"/>
      <c r="AE3" s="46" t="n"/>
      <c r="AF3" s="46" t="n">
        <v>122</v>
      </c>
      <c r="AG3" s="46" t="inlineStr">
        <is>
          <t>оксид цинку / сульфат цинку</t>
        </is>
      </c>
      <c r="AH3" s="46" t="n"/>
      <c r="AI3" s="46" t="n"/>
      <c r="AJ3" s="46" t="n"/>
      <c r="AK3">
        <f>IF(AF3="","",IF(AH3="",IFERROR(VLOOKUP(AG3,Довідник_мінералів!$A:$B,2,0),"-"),ROUND(IFERROR(VLOOKUP(AG3,Довідник_мінералів!$A:$B,2,0),0)*AH3/100+IFERROR(VLOOKUP(AI3,Довідник_мінералів!$A:$B,2,0),0)*AJ3/100,0)))</f>
        <v/>
      </c>
      <c r="AL3" s="46" t="n">
        <v>31</v>
      </c>
      <c r="AM3" s="46" t="inlineStr">
        <is>
          <t>сульфат заліза(II)</t>
        </is>
      </c>
      <c r="AN3" s="46" t="n"/>
      <c r="AO3" s="46" t="n"/>
      <c r="AP3" s="46" t="n"/>
      <c r="AQ3">
        <f>IF(AL3="","",IF(AN3="",IFERROR(VLOOKUP(AM3,Довідник_мінералів!$A:$B,2,0),"-"),ROUND(IFERROR(VLOOKUP(AM3,Довідник_мінералів!$A:$B,2,0),0)*AN3/100+IFERROR(VLOOKUP(AO3,Довідник_мінералів!$A:$B,2,0),0)*AP3/100,0)))</f>
        <v/>
      </c>
      <c r="AR3" s="46" t="n">
        <v>10</v>
      </c>
      <c r="AS3" s="46" t="inlineStr">
        <is>
          <t>сульфат міді</t>
        </is>
      </c>
      <c r="AT3" s="46" t="n"/>
      <c r="AU3">
        <f>IF(AR3="","",IFERROR(VLOOKUP(AS3,Довідник_мінералів!$A:$B,2,0),"-"))</f>
        <v/>
      </c>
      <c r="AV3" s="46" t="n">
        <v>41</v>
      </c>
      <c r="AW3" s="46" t="inlineStr">
        <is>
          <t>оксид марганцю</t>
        </is>
      </c>
      <c r="AX3" s="46" t="n"/>
      <c r="AY3">
        <f>IF(AV3="","",IFERROR(VLOOKUP(AW3,Довідник_мінералів!$A:$B,2,0),"-"))</f>
        <v/>
      </c>
      <c r="AZ3" s="46" t="n">
        <v>0.05</v>
      </c>
      <c r="BA3" s="46" t="inlineStr">
        <is>
          <t>селеніт натрію</t>
        </is>
      </c>
      <c r="BB3">
        <f>IF(SE3="","",IFERROR(VLOOKUP(BA3,Довідник_мінералів!$A:$B,2,0),"-"))</f>
        <v/>
      </c>
      <c r="BC3" s="46" t="n">
        <v>3.1</v>
      </c>
      <c r="BD3" s="46" t="inlineStr">
        <is>
          <t>L-карнітин: 100 мг; амоній хлорид: 5 г; вологість: 5.5%</t>
        </is>
      </c>
    </row>
    <row r="4" ht="35" customHeight="1">
      <c r="A4" s="47" t="inlineStr">
        <is>
          <t>rc_kitten_dry_cat</t>
        </is>
      </c>
      <c r="B4" s="47" t="inlineStr">
        <is>
          <t>Royal Canin</t>
        </is>
      </c>
      <c r="C4" s="47" t="inlineStr">
        <is>
          <t>Kitten</t>
        </is>
      </c>
      <c r="D4" s="47" t="inlineStr">
        <is>
          <t>Kitten (сухий)</t>
        </is>
      </c>
      <c r="E4" s="47" t="inlineStr">
        <is>
          <t>сухий</t>
        </is>
      </c>
      <c r="F4" s="47" t="inlineStr">
        <is>
          <t>кіт</t>
        </is>
      </c>
      <c r="G4" s="47" t="inlineStr">
        <is>
          <t>кошенята 4-12 міс</t>
        </is>
      </c>
      <c r="H4" s="47" t="n">
        <v>400</v>
      </c>
      <c r="I4" s="47" t="inlineStr">
        <is>
          <t>https://www.royalcanin.com/ua/cats/products/retail-products/kitten-dry</t>
        </is>
      </c>
      <c r="J4" s="47" t="n">
        <v>36</v>
      </c>
      <c r="K4" s="47" t="n">
        <v>18</v>
      </c>
      <c r="L4" s="47" t="n">
        <v>2.3</v>
      </c>
      <c r="M4" s="47" t="n">
        <v>7.8</v>
      </c>
      <c r="N4" s="47" t="n">
        <v>5.5</v>
      </c>
      <c r="O4">
        <f>IF(J4="","",ROUND(J4/(1-N4/100),1))</f>
        <v/>
      </c>
      <c r="P4">
        <f>IF(K4="","",ROUND(K4/(1-N4/100),1))</f>
        <v/>
      </c>
      <c r="Q4">
        <f>IF(L4="","",ROUND(L4/(1-N4/100),1))</f>
        <v/>
      </c>
      <c r="R4">
        <f>IF(M4="","",ROUND(M4/(1-N4/100),1))</f>
        <v/>
      </c>
      <c r="S4" s="47" t="inlineStr">
        <is>
          <t>Дегідратовані протеїни м'яса птиці, рис, пшеничний глютен (L.I.P.), тваринні жири, кукурудзяне борошно, гідролізат протеїнів тваринного походження, пшеничне борошно, кукурудзяний глютен, дріжджові продукти, буряковий жом, рослинна клітковина, мінеральні речовини, соєва олія, риб'ячий жир, оболонка та насіння подорожника, фруктоолігосахариди, гідролізат дріжджів (МОС та бета-глюкани), олія водоростей Шізохітріум (ДГК), борошно чорнобривців прямостоячих</t>
        </is>
      </c>
      <c r="T4" s="47" t="inlineStr">
        <is>
          <t>дегідратовані протеїни м'яса птиці</t>
        </is>
      </c>
      <c r="U4" s="47" t="inlineStr">
        <is>
          <t>пшеничний глютен (L.I.P.)</t>
        </is>
      </c>
      <c r="V4" s="47" t="inlineStr">
        <is>
          <t>гідролізат протеїнів тваринного походження</t>
        </is>
      </c>
      <c r="W4" s="47" t="n">
        <v>21000</v>
      </c>
      <c r="X4" s="47" t="n">
        <v>800</v>
      </c>
      <c r="Y4" s="47" t="n">
        <v>600</v>
      </c>
      <c r="Z4" s="47" t="n"/>
      <c r="AA4" s="47" t="n"/>
      <c r="AB4" s="47" t="n"/>
      <c r="AC4" s="47" t="n"/>
      <c r="AD4" s="47" t="n"/>
      <c r="AE4" s="47" t="n"/>
      <c r="AF4" s="47" t="n">
        <v>126</v>
      </c>
      <c r="AG4" s="47" t="inlineStr">
        <is>
          <t>оксид цинку / сульфат цинку</t>
        </is>
      </c>
      <c r="AH4" s="47" t="n"/>
      <c r="AI4" s="47" t="n"/>
      <c r="AJ4" s="47" t="n"/>
      <c r="AK4">
        <f>IF(AF4="","",IF(AH4="",IFERROR(VLOOKUP(AG4,Довідник_мінералів!$A:$B,2,0),"-"),ROUND(IFERROR(VLOOKUP(AG4,Довідник_мінералів!$A:$B,2,0),0)*AH4/100+IFERROR(VLOOKUP(AI4,Довідник_мінералів!$A:$B,2,0),0)*AJ4/100,0)))</f>
        <v/>
      </c>
      <c r="AL4" s="47" t="n">
        <v>32</v>
      </c>
      <c r="AM4" s="47" t="inlineStr">
        <is>
          <t>сульфат заліза(II)</t>
        </is>
      </c>
      <c r="AN4" s="47" t="n"/>
      <c r="AO4" s="47" t="n"/>
      <c r="AP4" s="47" t="n"/>
      <c r="AQ4">
        <f>IF(AL4="","",IF(AN4="",IFERROR(VLOOKUP(AM4,Довідник_мінералів!$A:$B,2,0),"-"),ROUND(IFERROR(VLOOKUP(AM4,Довідник_мінералів!$A:$B,2,0),0)*AN4/100+IFERROR(VLOOKUP(AO4,Довідник_мінералів!$A:$B,2,0),0)*AP4/100,0)))</f>
        <v/>
      </c>
      <c r="AR4" s="47" t="n">
        <v>10</v>
      </c>
      <c r="AS4" s="47" t="inlineStr">
        <is>
          <t>сульфат міді</t>
        </is>
      </c>
      <c r="AT4" s="47" t="n"/>
      <c r="AU4">
        <f>IF(AR4="","",IFERROR(VLOOKUP(AS4,Довідник_мінералів!$A:$B,2,0),"-"))</f>
        <v/>
      </c>
      <c r="AV4" s="47" t="n">
        <v>42</v>
      </c>
      <c r="AW4" s="47" t="inlineStr">
        <is>
          <t>оксид марганцю</t>
        </is>
      </c>
      <c r="AX4" s="47" t="n"/>
      <c r="AY4">
        <f>IF(AV4="","",IFERROR(VLOOKUP(AW4,Довідник_мінералів!$A:$B,2,0),"-"))</f>
        <v/>
      </c>
      <c r="AZ4" s="47" t="n">
        <v>0.05</v>
      </c>
      <c r="BA4" s="47" t="inlineStr">
        <is>
          <t>селеніт натрію</t>
        </is>
      </c>
      <c r="BB4">
        <f>IF(SE4="","",IFERROR(VLOOKUP(BA4,Довідник_мінералів!$A:$B,2,0),"-"))</f>
        <v/>
      </c>
      <c r="BC4" s="47" t="n">
        <v>3.2</v>
      </c>
      <c r="BD4" s="47" t="inlineStr">
        <is>
          <t>Містить ДГК з водоростей; вологість 5.5%; кальцій 1.2%</t>
        </is>
      </c>
    </row>
    <row r="5" ht="35" customHeight="1">
      <c r="A5" s="46" t="inlineStr">
        <is>
          <t>rc_fit32_dry_cat</t>
        </is>
      </c>
      <c r="B5" s="46" t="inlineStr">
        <is>
          <t>Royal Canin</t>
        </is>
      </c>
      <c r="C5" s="46" t="inlineStr">
        <is>
          <t>Fit</t>
        </is>
      </c>
      <c r="D5" s="46" t="inlineStr">
        <is>
          <t>Fit 32 (сухий)</t>
        </is>
      </c>
      <c r="E5" s="46" t="inlineStr">
        <is>
          <t>сухий</t>
        </is>
      </c>
      <c r="F5" s="46" t="inlineStr">
        <is>
          <t>кіт</t>
        </is>
      </c>
      <c r="G5" s="46" t="inlineStr">
        <is>
          <t>здоровий дорослий</t>
        </is>
      </c>
      <c r="H5" s="46" t="n">
        <v>389</v>
      </c>
      <c r="I5" s="46" t="inlineStr">
        <is>
          <t>https://www.royalcanin.com/ua/cats/products/retail-products/fit-32-dry</t>
        </is>
      </c>
      <c r="J5" s="46" t="n">
        <v>32</v>
      </c>
      <c r="K5" s="46" t="n">
        <v>15</v>
      </c>
      <c r="L5" s="46" t="n">
        <v>4.6</v>
      </c>
      <c r="M5" s="46" t="n">
        <v>7.2</v>
      </c>
      <c r="N5" s="46" t="n">
        <v>5.5</v>
      </c>
      <c r="O5">
        <f>IF(J5="","",ROUND(J5/(1-N5/100),1))</f>
        <v/>
      </c>
      <c r="P5">
        <f>IF(K5="","",ROUND(K5/(1-N5/100),1))</f>
        <v/>
      </c>
      <c r="Q5">
        <f>IF(L5="","",ROUND(L5/(1-N5/100),1))</f>
        <v/>
      </c>
      <c r="R5">
        <f>IF(M5="","",ROUND(M5/(1-N5/100),1))</f>
        <v/>
      </c>
      <c r="S5" s="46" t="inlineStr">
        <is>
          <t>Дегідратовані протеїни м'яса птиці, рис, пшениця, кукурудза, тваринні жири, дегідратовані протеїни свинини, рослинна клітковина, пшеничне борошно, гідролізат білків тваринного походження, кукурудзяний глютен, дріжджі та їх частки, буряковий жом, соєва олія, риб'ячий жир, мінеральні речовини, оболонка та насіння подорожника, гідролізат дріжджів (МОС), екстракт чорнобривців (лютеїн)</t>
        </is>
      </c>
      <c r="T5" s="46" t="inlineStr">
        <is>
          <t>дегідратовані протеїни м'яса птиці</t>
        </is>
      </c>
      <c r="U5" s="46" t="inlineStr">
        <is>
          <t>дегідратовані протеїни свинини</t>
        </is>
      </c>
      <c r="V5" s="46" t="inlineStr">
        <is>
          <t>гідролізат білків тваринного походження</t>
        </is>
      </c>
      <c r="W5" s="46" t="n">
        <v>13000</v>
      </c>
      <c r="X5" s="46" t="n">
        <v>700</v>
      </c>
      <c r="Y5" s="46" t="n"/>
      <c r="Z5" s="46" t="n"/>
      <c r="AA5" s="46" t="n"/>
      <c r="AB5" s="46" t="n"/>
      <c r="AC5" s="46" t="n"/>
      <c r="AD5" s="46" t="n"/>
      <c r="AE5" s="46" t="n"/>
      <c r="AF5" s="46" t="n">
        <v>136</v>
      </c>
      <c r="AG5" s="46" t="inlineStr">
        <is>
          <t>оксид цинку / сульфат цинку</t>
        </is>
      </c>
      <c r="AH5" s="46" t="n"/>
      <c r="AI5" s="46" t="n"/>
      <c r="AJ5" s="46" t="n"/>
      <c r="AK5">
        <f>IF(AF5="","",IF(AH5="",IFERROR(VLOOKUP(AG5,Довідник_мінералів!$A:$B,2,0),"-"),ROUND(IFERROR(VLOOKUP(AG5,Довідник_мінералів!$A:$B,2,0),0)*AH5/100+IFERROR(VLOOKUP(AI5,Довідник_мінералів!$A:$B,2,0),0)*AJ5/100,0)))</f>
        <v/>
      </c>
      <c r="AL5" s="46" t="n">
        <v>35</v>
      </c>
      <c r="AM5" s="46" t="inlineStr">
        <is>
          <t>сульфат заліза(II)</t>
        </is>
      </c>
      <c r="AN5" s="46" t="n"/>
      <c r="AO5" s="46" t="n"/>
      <c r="AP5" s="46" t="n"/>
      <c r="AQ5">
        <f>IF(AL5="","",IF(AN5="",IFERROR(VLOOKUP(AM5,Довідник_мінералів!$A:$B,2,0),"-"),ROUND(IFERROR(VLOOKUP(AM5,Довідник_мінералів!$A:$B,2,0),0)*AN5/100+IFERROR(VLOOKUP(AO5,Довідник_мінералів!$A:$B,2,0),0)*AP5/100,0)))</f>
        <v/>
      </c>
      <c r="AR5" s="46" t="n">
        <v>11</v>
      </c>
      <c r="AS5" s="46" t="inlineStr">
        <is>
          <t>сульфат міді</t>
        </is>
      </c>
      <c r="AT5" s="46" t="n"/>
      <c r="AU5">
        <f>IF(AR5="","",IFERROR(VLOOKUP(AS5,Довідник_мінералів!$A:$B,2,0),"-"))</f>
        <v/>
      </c>
      <c r="AV5" s="46" t="n">
        <v>45</v>
      </c>
      <c r="AW5" s="46" t="inlineStr">
        <is>
          <t>оксид марганцю</t>
        </is>
      </c>
      <c r="AX5" s="46" t="n"/>
      <c r="AY5">
        <f>IF(AV5="","",IFERROR(VLOOKUP(AW5,Довідник_мінералів!$A:$B,2,0),"-"))</f>
        <v/>
      </c>
      <c r="AZ5" s="46" t="n">
        <v>0.09</v>
      </c>
      <c r="BA5" s="46" t="inlineStr">
        <is>
          <t>селеніт натрію</t>
        </is>
      </c>
      <c r="BB5">
        <f>IF(SE5="","",IFERROR(VLOOKUP(BA5,Довідник_мінералів!$A:$B,2,0),"-"))</f>
        <v/>
      </c>
      <c r="BC5" s="46" t="n">
        <v>3.5</v>
      </c>
      <c r="BD5" s="46" t="inlineStr">
        <is>
          <t>амоній хлорид: 5 г; для котів з помірною активністю</t>
        </is>
      </c>
    </row>
    <row r="6" ht="35" customHeight="1">
      <c r="A6" s="47" t="inlineStr">
        <is>
          <t>rc_indoor_dry_cat</t>
        </is>
      </c>
      <c r="B6" s="47" t="inlineStr">
        <is>
          <t>Royal Canin</t>
        </is>
      </c>
      <c r="C6" s="47" t="inlineStr">
        <is>
          <t>Indoor</t>
        </is>
      </c>
      <c r="D6" s="47" t="inlineStr">
        <is>
          <t>Indoor (сухий)</t>
        </is>
      </c>
      <c r="E6" s="47" t="inlineStr">
        <is>
          <t>сухий</t>
        </is>
      </c>
      <c r="F6" s="47" t="inlineStr">
        <is>
          <t>кіт</t>
        </is>
      </c>
      <c r="G6" s="47" t="inlineStr">
        <is>
          <t>здоровий дорослий indoor</t>
        </is>
      </c>
      <c r="H6" s="47" t="n">
        <v>352</v>
      </c>
      <c r="I6" s="47" t="inlineStr">
        <is>
          <t>https://www.royalcanin.com/ua/cats/products/retail-products/indoor-dry</t>
        </is>
      </c>
      <c r="J6" s="47" t="n">
        <v>27</v>
      </c>
      <c r="K6" s="47" t="n">
        <v>13</v>
      </c>
      <c r="L6" s="47" t="n">
        <v>4</v>
      </c>
      <c r="M6" s="47" t="n">
        <v>7.3</v>
      </c>
      <c r="N6" s="47" t="n">
        <v>5.5</v>
      </c>
      <c r="O6">
        <f>IF(J6="","",ROUND(J6/(1-N6/100),1))</f>
        <v/>
      </c>
      <c r="P6">
        <f>IF(K6="","",ROUND(K6/(1-N6/100),1))</f>
        <v/>
      </c>
      <c r="Q6">
        <f>IF(L6="","",ROUND(L6/(1-N6/100),1))</f>
        <v/>
      </c>
      <c r="R6">
        <f>IF(M6="","",ROUND(M6/(1-N6/100),1))</f>
        <v/>
      </c>
      <c r="S6" s="47" t="inlineStr">
        <is>
          <t>Дегідратовані протеїни м'яса птиці, рис, пшениця, кукурудза, рослинна клітковина, тваринні жири, гідролізат білків тваринного походження, кукурудзяний глютен, дріжджі та їх частки, буряковий жом, мінеральні речовини, соєва олія, риб'ячий жир, оболонка та насіння подорожника, гідролізат дріжджів (МОС), екстракт чорнобривців (лютеїн)</t>
        </is>
      </c>
      <c r="T6" s="47" t="inlineStr">
        <is>
          <t>дегідратовані протеїни м'яса птиці</t>
        </is>
      </c>
      <c r="U6" s="47" t="inlineStr">
        <is>
          <t>гідролізат білків тваринного походження</t>
        </is>
      </c>
      <c r="V6" s="47" t="inlineStr">
        <is>
          <t>кукурудзяний глютен</t>
        </is>
      </c>
      <c r="W6" s="47" t="n"/>
      <c r="X6" s="47" t="n">
        <v>700</v>
      </c>
      <c r="Y6" s="47" t="n"/>
      <c r="Z6" s="47" t="n"/>
      <c r="AA6" s="47" t="n"/>
      <c r="AB6" s="47" t="n"/>
      <c r="AC6" s="47" t="n"/>
      <c r="AD6" s="47" t="n"/>
      <c r="AE6" s="47" t="n"/>
      <c r="AF6" s="47" t="n">
        <v>164</v>
      </c>
      <c r="AG6" s="47" t="inlineStr">
        <is>
          <t>оксид цинку / сульфат цинку</t>
        </is>
      </c>
      <c r="AH6" s="47" t="n"/>
      <c r="AI6" s="47" t="n"/>
      <c r="AJ6" s="47" t="n"/>
      <c r="AK6">
        <f>IF(AF6="","",IF(AH6="",IFERROR(VLOOKUP(AG6,Довідник_мінералів!$A:$B,2,0),"-"),ROUND(IFERROR(VLOOKUP(AG6,Довідник_мінералів!$A:$B,2,0),0)*AH6/100+IFERROR(VLOOKUP(AI6,Довідник_мінералів!$A:$B,2,0),0)*AJ6/100,0)))</f>
        <v/>
      </c>
      <c r="AL6" s="47" t="n">
        <v>42</v>
      </c>
      <c r="AM6" s="47" t="inlineStr">
        <is>
          <t>сульфат заліза(II)</t>
        </is>
      </c>
      <c r="AN6" s="47" t="n"/>
      <c r="AO6" s="47" t="n"/>
      <c r="AP6" s="47" t="n"/>
      <c r="AQ6">
        <f>IF(AL6="","",IF(AN6="",IFERROR(VLOOKUP(AM6,Довідник_мінералів!$A:$B,2,0),"-"),ROUND(IFERROR(VLOOKUP(AM6,Довідник_мінералів!$A:$B,2,0),0)*AN6/100+IFERROR(VLOOKUP(AO6,Довідник_мінералів!$A:$B,2,0),0)*AP6/100,0)))</f>
        <v/>
      </c>
      <c r="AR6" s="47" t="n">
        <v>13</v>
      </c>
      <c r="AS6" s="47" t="inlineStr">
        <is>
          <t>сульфат міді</t>
        </is>
      </c>
      <c r="AT6" s="47" t="n"/>
      <c r="AU6">
        <f>IF(AR6="","",IFERROR(VLOOKUP(AS6,Довідник_мінералів!$A:$B,2,0),"-"))</f>
        <v/>
      </c>
      <c r="AV6" s="47" t="n">
        <v>55</v>
      </c>
      <c r="AW6" s="47" t="inlineStr">
        <is>
          <t>оксид марганцю</t>
        </is>
      </c>
      <c r="AX6" s="47" t="n"/>
      <c r="AY6">
        <f>IF(AV6="","",IFERROR(VLOOKUP(AW6,Довідник_мінералів!$A:$B,2,0),"-"))</f>
        <v/>
      </c>
      <c r="AZ6" s="47" t="n">
        <v>0.09</v>
      </c>
      <c r="BA6" s="47" t="inlineStr">
        <is>
          <t>селеніт натрію</t>
        </is>
      </c>
      <c r="BB6">
        <f>IF(SE6="","",IFERROR(VLOOKUP(BA6,Довідник_мінералів!$A:$B,2,0),"-"))</f>
        <v/>
      </c>
      <c r="BC6" s="47" t="n">
        <v>4.2</v>
      </c>
      <c r="BD6" s="47" t="inlineStr">
        <is>
          <t>Для котів що живуть у приміщенні; виведення грудочок шерсті</t>
        </is>
      </c>
    </row>
    <row r="7" ht="35" customHeight="1">
      <c r="A7" s="46" t="inlineStr">
        <is>
          <t>rc_urinary_care_dry_cat</t>
        </is>
      </c>
      <c r="B7" s="46" t="inlineStr">
        <is>
          <t>Royal Canin</t>
        </is>
      </c>
      <c r="C7" s="46" t="inlineStr">
        <is>
          <t>Urinary Care</t>
        </is>
      </c>
      <c r="D7" s="46" t="inlineStr">
        <is>
          <t>Urinary Care (сухий)</t>
        </is>
      </c>
      <c r="E7" s="46" t="inlineStr">
        <is>
          <t>сухий</t>
        </is>
      </c>
      <c r="F7" s="46" t="inlineStr">
        <is>
          <t>кіт</t>
        </is>
      </c>
      <c r="G7" s="46" t="inlineStr">
        <is>
          <t>МКХ профілактика</t>
        </is>
      </c>
      <c r="H7" s="46" t="n">
        <v>376</v>
      </c>
      <c r="I7" s="46" t="inlineStr">
        <is>
          <t>https://www.royalcanin.com/ua/cats/products/retail-products/urinary-care-1800</t>
        </is>
      </c>
      <c r="J7" s="46" t="n">
        <v>33</v>
      </c>
      <c r="K7" s="46" t="n">
        <v>13</v>
      </c>
      <c r="L7" s="46" t="n">
        <v>5</v>
      </c>
      <c r="M7" s="46" t="n">
        <v>6.6</v>
      </c>
      <c r="N7" s="46" t="n">
        <v>5.5</v>
      </c>
      <c r="O7">
        <f>IF(J7="","",ROUND(J7/(1-N7/100),1))</f>
        <v/>
      </c>
      <c r="P7">
        <f>IF(K7="","",ROUND(K7/(1-N7/100),1))</f>
        <v/>
      </c>
      <c r="Q7">
        <f>IF(L7="","",ROUND(L7/(1-N7/100),1))</f>
        <v/>
      </c>
      <c r="R7">
        <f>IF(M7="","",ROUND(M7/(1-N7/100),1))</f>
        <v/>
      </c>
      <c r="S7" s="46" t="inlineStr">
        <is>
          <t>Дегідратовані протеїни м'яса птиці (L.I.P.), рис, кукурудза, пшениця, тваринні жири, гідролізат білків тваринного походження, кукурудзяний глютен, дріжджі та їх частки, буряковий жом, рослинна клітковина, мінеральні речовини, риб'ячий жир, соєва олія, оболонка та насіння подорожника, фруктоолігосахариди, гідролізат дріжджів (МОС), екстракт чорнобривців (лютеїн)</t>
        </is>
      </c>
      <c r="T7" s="46" t="inlineStr">
        <is>
          <t>дегідратовані протеїни м'яса птиці (L.I.P.)</t>
        </is>
      </c>
      <c r="U7" s="46" t="inlineStr">
        <is>
          <t>гідролізат білків тваринного походження</t>
        </is>
      </c>
      <c r="V7" s="46" t="inlineStr">
        <is>
          <t>кукурудзяний глютен</t>
        </is>
      </c>
      <c r="W7" s="46" t="n">
        <v>20500</v>
      </c>
      <c r="X7" s="46" t="n">
        <v>700</v>
      </c>
      <c r="Y7" s="46" t="n"/>
      <c r="Z7" s="46" t="n"/>
      <c r="AA7" s="46" t="n"/>
      <c r="AB7" s="46" t="n"/>
      <c r="AC7" s="46" t="n"/>
      <c r="AD7" s="46" t="n"/>
      <c r="AE7" s="46" t="n"/>
      <c r="AF7" s="46" t="n">
        <v>109</v>
      </c>
      <c r="AG7" s="46" t="inlineStr">
        <is>
          <t>оксид цинку / сульфат цинку</t>
        </is>
      </c>
      <c r="AH7" s="46" t="n"/>
      <c r="AI7" s="46" t="n"/>
      <c r="AJ7" s="46" t="n"/>
      <c r="AK7">
        <f>IF(AF7="","",IF(AH7="",IFERROR(VLOOKUP(AG7,Довідник_мінералів!$A:$B,2,0),"-"),ROUND(IFERROR(VLOOKUP(AG7,Довідник_мінералів!$A:$B,2,0),0)*AH7/100+IFERROR(VLOOKUP(AI7,Довідник_мінералів!$A:$B,2,0),0)*AJ7/100,0)))</f>
        <v/>
      </c>
      <c r="AL7" s="46" t="n">
        <v>40</v>
      </c>
      <c r="AM7" s="46" t="inlineStr">
        <is>
          <t>сульфат заліза(II)</t>
        </is>
      </c>
      <c r="AN7" s="46" t="n"/>
      <c r="AO7" s="46" t="n"/>
      <c r="AP7" s="46" t="n"/>
      <c r="AQ7">
        <f>IF(AL7="","",IF(AN7="",IFERROR(VLOOKUP(AM7,Довідник_мінералів!$A:$B,2,0),"-"),ROUND(IFERROR(VLOOKUP(AM7,Довідник_мінералів!$A:$B,2,0),0)*AN7/100+IFERROR(VLOOKUP(AO7,Довідник_мінералів!$A:$B,2,0),0)*AP7/100,0)))</f>
        <v/>
      </c>
      <c r="AR7" s="46" t="n">
        <v>12</v>
      </c>
      <c r="AS7" s="46" t="inlineStr">
        <is>
          <t>сульфат міді</t>
        </is>
      </c>
      <c r="AT7" s="46" t="n"/>
      <c r="AU7">
        <f>IF(AR7="","",IFERROR(VLOOKUP(AS7,Довідник_мінералів!$A:$B,2,0),"-"))</f>
        <v/>
      </c>
      <c r="AV7" s="46" t="n">
        <v>52</v>
      </c>
      <c r="AW7" s="46" t="inlineStr">
        <is>
          <t>оксид марганцю</t>
        </is>
      </c>
      <c r="AX7" s="46" t="n"/>
      <c r="AY7">
        <f>IF(AV7="","",IFERROR(VLOOKUP(AW7,Довідник_мінералів!$A:$B,2,0),"-"))</f>
        <v/>
      </c>
      <c r="AZ7" s="46" t="n">
        <v>0.07000000000000001</v>
      </c>
      <c r="BA7" s="46" t="inlineStr">
        <is>
          <t>селеніт натрію</t>
        </is>
      </c>
      <c r="BB7">
        <f>IF(SE7="","",IFERROR(VLOOKUP(BA7,Довідник_мінералів!$A:$B,2,0),"-"))</f>
        <v/>
      </c>
      <c r="BC7" s="46" t="n">
        <v>4</v>
      </c>
      <c r="BD7" s="46" t="inlineStr">
        <is>
          <t>pH сечі 6.0-6.5; S/O index; профілактика струвітів та оксалатів</t>
        </is>
      </c>
    </row>
    <row r="8" ht="35" customHeight="1">
      <c r="A8" s="47" t="inlineStr">
        <is>
          <t>rc_hair_skin_dry_cat</t>
        </is>
      </c>
      <c r="B8" s="47" t="inlineStr">
        <is>
          <t>Royal Canin</t>
        </is>
      </c>
      <c r="C8" s="47" t="inlineStr">
        <is>
          <t>Hair &amp; Skin</t>
        </is>
      </c>
      <c r="D8" s="47" t="inlineStr">
        <is>
          <t>Hair &amp; Skin Care (сухий)</t>
        </is>
      </c>
      <c r="E8" s="47" t="inlineStr">
        <is>
          <t>сухий</t>
        </is>
      </c>
      <c r="F8" s="47" t="inlineStr">
        <is>
          <t>кіт</t>
        </is>
      </c>
      <c r="G8" s="47" t="inlineStr">
        <is>
          <t>шкіра та шерсть</t>
        </is>
      </c>
      <c r="H8" s="47" t="n">
        <v>415</v>
      </c>
      <c r="I8" s="47" t="inlineStr">
        <is>
          <t>https://www.royalcanin.com/ua/cats/products/retail-products/hair-skin-care-dry</t>
        </is>
      </c>
      <c r="J8" s="47" t="n">
        <v>33</v>
      </c>
      <c r="K8" s="47" t="n">
        <v>22</v>
      </c>
      <c r="L8" s="47" t="n">
        <v>5</v>
      </c>
      <c r="M8" s="47" t="n">
        <v>6.9</v>
      </c>
      <c r="N8" s="47" t="n">
        <v>5.5</v>
      </c>
      <c r="O8">
        <f>IF(J8="","",ROUND(J8/(1-N8/100),1))</f>
        <v/>
      </c>
      <c r="P8">
        <f>IF(K8="","",ROUND(K8/(1-N8/100),1))</f>
        <v/>
      </c>
      <c r="Q8">
        <f>IF(L8="","",ROUND(L8/(1-N8/100),1))</f>
        <v/>
      </c>
      <c r="R8">
        <f>IF(M8="","",ROUND(M8/(1-N8/100),1))</f>
        <v/>
      </c>
      <c r="S8" s="47" t="inlineStr">
        <is>
          <t>Дегідратований білок з м'яса свійської птиці (L.I.P.), тваринні жири, пшеничний глютен (L.I.P.), рис, рослинне волокно, кукурудза, гідролізовані тваринні білки, пшениця, дріжджові продукти, кукурудзяне борошно, олія огірковика, мінеральні речовини</t>
        </is>
      </c>
      <c r="T8" s="47" t="inlineStr">
        <is>
          <t>дегідратований білок з м'яса свійської птиці (L.I.P.)</t>
        </is>
      </c>
      <c r="U8" s="47" t="inlineStr">
        <is>
          <t>пшеничний глютен (L.I.P.)</t>
        </is>
      </c>
      <c r="V8" s="47" t="inlineStr">
        <is>
          <t>гідролізовані тваринні білки</t>
        </is>
      </c>
      <c r="W8" s="47" t="n">
        <v>26000</v>
      </c>
      <c r="X8" s="47" t="n">
        <v>700</v>
      </c>
      <c r="Y8" s="47" t="n"/>
      <c r="Z8" s="47" t="n"/>
      <c r="AA8" s="47" t="n"/>
      <c r="AB8" s="47" t="n"/>
      <c r="AC8" s="47" t="n"/>
      <c r="AD8" s="47" t="n"/>
      <c r="AE8" s="47" t="n"/>
      <c r="AF8" s="47" t="n">
        <v>102</v>
      </c>
      <c r="AG8" s="47" t="inlineStr">
        <is>
          <t>оксид цинку / сульфат цинку</t>
        </is>
      </c>
      <c r="AH8" s="47" t="n"/>
      <c r="AI8" s="47" t="n"/>
      <c r="AJ8" s="47" t="n"/>
      <c r="AK8">
        <f>IF(AF8="","",IF(AH8="",IFERROR(VLOOKUP(AG8,Довідник_мінералів!$A:$B,2,0),"-"),ROUND(IFERROR(VLOOKUP(AG8,Довідник_мінералів!$A:$B,2,0),0)*AH8/100+IFERROR(VLOOKUP(AI8,Довідник_мінералів!$A:$B,2,0),0)*AJ8/100,0)))</f>
        <v/>
      </c>
      <c r="AL8" s="47" t="n">
        <v>37</v>
      </c>
      <c r="AM8" s="47" t="inlineStr">
        <is>
          <t>сульфат заліза(II)</t>
        </is>
      </c>
      <c r="AN8" s="47" t="n"/>
      <c r="AO8" s="47" t="n"/>
      <c r="AP8" s="47" t="n"/>
      <c r="AQ8">
        <f>IF(AL8="","",IF(AN8="",IFERROR(VLOOKUP(AM8,Довідник_мінералів!$A:$B,2,0),"-"),ROUND(IFERROR(VLOOKUP(AM8,Довідник_мінералів!$A:$B,2,0),0)*AN8/100+IFERROR(VLOOKUP(AO8,Довідник_мінералів!$A:$B,2,0),0)*AP8/100,0)))</f>
        <v/>
      </c>
      <c r="AR8" s="47" t="n">
        <v>11</v>
      </c>
      <c r="AS8" s="47" t="inlineStr">
        <is>
          <t>сульфат міді</t>
        </is>
      </c>
      <c r="AT8" s="47" t="n"/>
      <c r="AU8">
        <f>IF(AR8="","",IFERROR(VLOOKUP(AS8,Довідник_мінералів!$A:$B,2,0),"-"))</f>
        <v/>
      </c>
      <c r="AV8" s="47" t="n">
        <v>48</v>
      </c>
      <c r="AW8" s="47" t="inlineStr">
        <is>
          <t>оксид марганцю</t>
        </is>
      </c>
      <c r="AX8" s="47" t="n"/>
      <c r="AY8">
        <f>IF(AV8="","",IFERROR(VLOOKUP(AW8,Довідник_мінералів!$A:$B,2,0),"-"))</f>
        <v/>
      </c>
      <c r="AZ8" s="47" t="n">
        <v>0.06</v>
      </c>
      <c r="BA8" s="47" t="inlineStr">
        <is>
          <t>селеніт натрію</t>
        </is>
      </c>
      <c r="BB8">
        <f>IF(SE8="","",IFERROR(VLOOKUP(BA8,Довідник_мінералів!$A:$B,2,0),"-"))</f>
        <v/>
      </c>
      <c r="BC8" s="47" t="n">
        <v>3.7</v>
      </c>
      <c r="BD8" s="47" t="inlineStr">
        <is>
          <t>Омега-3: 11.5 г/кг; Омега-6: 52.9 г/кг; олія огірковика (GLA)</t>
        </is>
      </c>
    </row>
    <row r="9" ht="35" customHeight="1">
      <c r="A9" s="46" t="inlineStr">
        <is>
          <t>rc_sensible33_dry_cat</t>
        </is>
      </c>
      <c r="B9" s="46" t="inlineStr">
        <is>
          <t>Royal Canin</t>
        </is>
      </c>
      <c r="C9" s="46" t="inlineStr">
        <is>
          <t>Sensible</t>
        </is>
      </c>
      <c r="D9" s="46" t="inlineStr">
        <is>
          <t>Sensible 33 (сухий)</t>
        </is>
      </c>
      <c r="E9" s="46" t="inlineStr">
        <is>
          <t>сухий</t>
        </is>
      </c>
      <c r="F9" s="46" t="inlineStr">
        <is>
          <t>кіт</t>
        </is>
      </c>
      <c r="G9" s="46" t="inlineStr">
        <is>
          <t>чутливе травлення</t>
        </is>
      </c>
      <c r="H9" s="46" t="n">
        <v>357</v>
      </c>
      <c r="I9" s="46" t="inlineStr">
        <is>
          <t>https://www.royalcanin.com/ua/cats/products/retail-products/sensible-33-2521</t>
        </is>
      </c>
      <c r="J9" s="46" t="n">
        <v>33</v>
      </c>
      <c r="K9" s="46" t="n">
        <v>22</v>
      </c>
      <c r="L9" s="46" t="n">
        <v>1.6</v>
      </c>
      <c r="M9" s="46" t="n">
        <v>7.4</v>
      </c>
      <c r="N9" s="46" t="n">
        <v>5.5</v>
      </c>
      <c r="O9">
        <f>IF(J9="","",ROUND(J9/(1-N9/100),1))</f>
        <v/>
      </c>
      <c r="P9">
        <f>IF(K9="","",ROUND(K9/(1-N9/100),1))</f>
        <v/>
      </c>
      <c r="Q9">
        <f>IF(L9="","",ROUND(L9/(1-N9/100),1))</f>
        <v/>
      </c>
      <c r="R9">
        <f>IF(M9="","",ROUND(M9/(1-N9/100),1))</f>
        <v/>
      </c>
      <c r="S9" s="46" t="inlineStr">
        <is>
          <t>Дегідратовані протеїни м'яса птиці (L.I.P.), рис, кукурудза, тваринні жири, гідролізат білків тваринного походження, дріжджі та їх частки, пшениця, буряковий жом, кукурудзяний глютен, рослинна клітковина, мінеральні речовини, риб'ячий жир, соєва олія, оболонка та насіння подорожника, фруктоолігосахариди, гідролізат дріжджів (МОС), екстракт чорнобривців (лютеїн)</t>
        </is>
      </c>
      <c r="T9" s="46" t="inlineStr">
        <is>
          <t>дегідратовані протеїни м'яса птиці (L.I.P.)</t>
        </is>
      </c>
      <c r="U9" s="46" t="inlineStr">
        <is>
          <t>рис</t>
        </is>
      </c>
      <c r="V9" s="46" t="inlineStr">
        <is>
          <t>гідролізат білків тваринного походження</t>
        </is>
      </c>
      <c r="W9" s="46" t="n">
        <v>18500</v>
      </c>
      <c r="X9" s="46" t="n">
        <v>1000</v>
      </c>
      <c r="Y9" s="46" t="n"/>
      <c r="Z9" s="46" t="n"/>
      <c r="AA9" s="46" t="n"/>
      <c r="AB9" s="46" t="n"/>
      <c r="AC9" s="46" t="n"/>
      <c r="AD9" s="46" t="n"/>
      <c r="AE9" s="46" t="n"/>
      <c r="AF9" s="46" t="n">
        <v>150</v>
      </c>
      <c r="AG9" s="46" t="inlineStr">
        <is>
          <t>оксид цинку / сульфат цинку</t>
        </is>
      </c>
      <c r="AH9" s="46" t="n"/>
      <c r="AI9" s="46" t="n"/>
      <c r="AJ9" s="46" t="n"/>
      <c r="AK9">
        <f>IF(AF9="","",IF(AH9="",IFERROR(VLOOKUP(AG9,Довідник_мінералів!$A:$B,2,0),"-"),ROUND(IFERROR(VLOOKUP(AG9,Довідник_мінералів!$A:$B,2,0),0)*AH9/100+IFERROR(VLOOKUP(AI9,Довідник_мінералів!$A:$B,2,0),0)*AJ9/100,0)))</f>
        <v/>
      </c>
      <c r="AL9" s="46" t="n">
        <v>38</v>
      </c>
      <c r="AM9" s="46" t="inlineStr">
        <is>
          <t>сульфат заліза(II)</t>
        </is>
      </c>
      <c r="AN9" s="46" t="n"/>
      <c r="AO9" s="46" t="n"/>
      <c r="AP9" s="46" t="n"/>
      <c r="AQ9">
        <f>IF(AL9="","",IF(AN9="",IFERROR(VLOOKUP(AM9,Довідник_мінералів!$A:$B,2,0),"-"),ROUND(IFERROR(VLOOKUP(AM9,Довідник_мінералів!$A:$B,2,0),0)*AN9/100+IFERROR(VLOOKUP(AO9,Довідник_мінералів!$A:$B,2,0),0)*AP9/100,0)))</f>
        <v/>
      </c>
      <c r="AR9" s="46" t="n">
        <v>12</v>
      </c>
      <c r="AS9" s="46" t="inlineStr">
        <is>
          <t>сульфат міді</t>
        </is>
      </c>
      <c r="AT9" s="46" t="n"/>
      <c r="AU9">
        <f>IF(AR9="","",IFERROR(VLOOKUP(AS9,Довідник_мінералів!$A:$B,2,0),"-"))</f>
        <v/>
      </c>
      <c r="AV9" s="46" t="n">
        <v>50</v>
      </c>
      <c r="AW9" s="46" t="inlineStr">
        <is>
          <t>оксид марганцю</t>
        </is>
      </c>
      <c r="AX9" s="46" t="n"/>
      <c r="AY9">
        <f>IF(AV9="","",IFERROR(VLOOKUP(AW9,Довідник_мінералів!$A:$B,2,0),"-"))</f>
        <v/>
      </c>
      <c r="AZ9" s="46" t="n">
        <v>0.1</v>
      </c>
      <c r="BA9" s="46" t="inlineStr">
        <is>
          <t>селеніт натрію</t>
        </is>
      </c>
      <c r="BB9">
        <f>IF(SE9="","",IFERROR(VLOOKUP(BA9,Довідник_мінералів!$A:$B,2,0),"-"))</f>
        <v/>
      </c>
      <c r="BC9" s="46" t="n">
        <v>3.8</v>
      </c>
      <c r="BD9" s="46" t="inlineStr">
        <is>
          <t>Рис як основне джерело вуглеводів; L.I.P. білки; pH сечі 6.0-6.5</t>
        </is>
      </c>
    </row>
    <row r="10" ht="35" customHeight="1">
      <c r="A10" s="47" t="inlineStr">
        <is>
          <t>rc_savour_exigent_dry_cat</t>
        </is>
      </c>
      <c r="B10" s="47" t="inlineStr">
        <is>
          <t>Royal Canin</t>
        </is>
      </c>
      <c r="C10" s="47" t="inlineStr">
        <is>
          <t>Exigent</t>
        </is>
      </c>
      <c r="D10" s="47" t="inlineStr">
        <is>
          <t>Savour Exigent (сухий)</t>
        </is>
      </c>
      <c r="E10" s="47" t="inlineStr">
        <is>
          <t>сухий</t>
        </is>
      </c>
      <c r="F10" s="47" t="inlineStr">
        <is>
          <t>кіт</t>
        </is>
      </c>
      <c r="G10" s="47" t="inlineStr">
        <is>
          <t>здоровий дорослий вибагливий</t>
        </is>
      </c>
      <c r="H10" s="47" t="n">
        <v>396</v>
      </c>
      <c r="I10" s="47" t="inlineStr">
        <is>
          <t>https://www.royalcanin.com/ua/cats/products/retail-products/savour-exigent-dry</t>
        </is>
      </c>
      <c r="J10" s="47" t="n">
        <v>33</v>
      </c>
      <c r="K10" s="47" t="n">
        <v>16</v>
      </c>
      <c r="L10" s="47" t="n">
        <v>3.1</v>
      </c>
      <c r="M10" s="47" t="n">
        <v>7.2</v>
      </c>
      <c r="N10" s="47" t="n">
        <v>5.5</v>
      </c>
      <c r="O10">
        <f>IF(J10="","",ROUND(J10/(1-N10/100),1))</f>
        <v/>
      </c>
      <c r="P10">
        <f>IF(K10="","",ROUND(K10/(1-N10/100),1))</f>
        <v/>
      </c>
      <c r="Q10">
        <f>IF(L10="","",ROUND(L10/(1-N10/100),1))</f>
        <v/>
      </c>
      <c r="R10">
        <f>IF(M10="","",ROUND(M10/(1-N10/100),1))</f>
        <v/>
      </c>
      <c r="S10" s="47" t="inlineStr">
        <is>
          <t>Два типи крокет різної текстури: 1) Дегідратовані протеїни м'яса птиці (L.I.P.), рис, пшениця, кукурудза, тваринні жири, гідролізат білків тваринного походження, кукурудзяний глютен, дріжджі та їх частки, буряковий жом 2) Дегідратовані протеїни м'яса птиці (L.I.P.), кукурудза, рис, тваринні жири, кукурудзяний глютен, рослинна клітковина, мінеральні речовини</t>
        </is>
      </c>
      <c r="T10" s="47" t="inlineStr">
        <is>
          <t>дегідратовані протеїни м'яса птиці (L.I.P.)</t>
        </is>
      </c>
      <c r="U10" s="47" t="inlineStr">
        <is>
          <t>гідролізат білків тваринного походження</t>
        </is>
      </c>
      <c r="V10" s="47" t="inlineStr">
        <is>
          <t>кукурудзяний глютен</t>
        </is>
      </c>
      <c r="W10" s="47" t="n">
        <v>14500</v>
      </c>
      <c r="X10" s="47" t="n">
        <v>800</v>
      </c>
      <c r="Y10" s="47" t="n"/>
      <c r="Z10" s="47" t="n"/>
      <c r="AA10" s="47" t="n"/>
      <c r="AB10" s="47" t="n"/>
      <c r="AC10" s="47" t="n"/>
      <c r="AD10" s="47" t="n"/>
      <c r="AE10" s="47" t="n"/>
      <c r="AF10" s="47" t="n">
        <v>143</v>
      </c>
      <c r="AG10" s="47" t="inlineStr">
        <is>
          <t>оксид цинку / сульфат цинку</t>
        </is>
      </c>
      <c r="AH10" s="47" t="n"/>
      <c r="AI10" s="47" t="n"/>
      <c r="AJ10" s="47" t="n"/>
      <c r="AK10">
        <f>IF(AF10="","",IF(AH10="",IFERROR(VLOOKUP(AG10,Довідник_мінералів!$A:$B,2,0),"-"),ROUND(IFERROR(VLOOKUP(AG10,Довідник_мінералів!$A:$B,2,0),0)*AH10/100+IFERROR(VLOOKUP(AI10,Довідник_мінералів!$A:$B,2,0),0)*AJ10/100,0)))</f>
        <v/>
      </c>
      <c r="AL10" s="47" t="n">
        <v>37</v>
      </c>
      <c r="AM10" s="47" t="inlineStr">
        <is>
          <t>сульфат заліза(II)</t>
        </is>
      </c>
      <c r="AN10" s="47" t="n"/>
      <c r="AO10" s="47" t="n"/>
      <c r="AP10" s="47" t="n"/>
      <c r="AQ10">
        <f>IF(AL10="","",IF(AN10="",IFERROR(VLOOKUP(AM10,Довідник_мінералів!$A:$B,2,0),"-"),ROUND(IFERROR(VLOOKUP(AM10,Довідник_мінералів!$A:$B,2,0),0)*AN10/100+IFERROR(VLOOKUP(AO10,Довідник_мінералів!$A:$B,2,0),0)*AP10/100,0)))</f>
        <v/>
      </c>
      <c r="AR10" s="47" t="n">
        <v>11</v>
      </c>
      <c r="AS10" s="47" t="inlineStr">
        <is>
          <t>сульфат міді</t>
        </is>
      </c>
      <c r="AT10" s="47" t="n"/>
      <c r="AU10">
        <f>IF(AR10="","",IFERROR(VLOOKUP(AS10,Довідник_мінералів!$A:$B,2,0),"-"))</f>
        <v/>
      </c>
      <c r="AV10" s="47" t="n">
        <v>48</v>
      </c>
      <c r="AW10" s="47" t="inlineStr">
        <is>
          <t>оксид марганцю</t>
        </is>
      </c>
      <c r="AX10" s="47" t="n"/>
      <c r="AY10">
        <f>IF(AV10="","",IFERROR(VLOOKUP(AW10,Довідник_мінералів!$A:$B,2,0),"-"))</f>
        <v/>
      </c>
      <c r="AZ10" s="47" t="n">
        <v>0.08</v>
      </c>
      <c r="BA10" s="47" t="inlineStr">
        <is>
          <t>селеніт натрію</t>
        </is>
      </c>
      <c r="BB10">
        <f>IF(SE10="","",IFERROR(VLOOKUP(BA10,Довідник_мінералів!$A:$B,2,0),"-"))</f>
        <v/>
      </c>
      <c r="BC10" s="47" t="n">
        <v>3.7</v>
      </c>
      <c r="BD10" s="47" t="inlineStr">
        <is>
          <t>Два типи крокет: аромат+текстура; амоній хлорид 5 г</t>
        </is>
      </c>
    </row>
    <row r="11" ht="35" customHeight="1">
      <c r="A11" s="46" t="inlineStr">
        <is>
          <t>rc_sterilised7plus_dry_cat</t>
        </is>
      </c>
      <c r="B11" s="46" t="inlineStr">
        <is>
          <t>Royal Canin</t>
        </is>
      </c>
      <c r="C11" s="46" t="inlineStr">
        <is>
          <t>Sterilised</t>
        </is>
      </c>
      <c r="D11" s="46" t="inlineStr">
        <is>
          <t>Sterilised 7+ (сухий)</t>
        </is>
      </c>
      <c r="E11" s="46" t="inlineStr">
        <is>
          <t>сухий</t>
        </is>
      </c>
      <c r="F11" s="46" t="inlineStr">
        <is>
          <t>кіт</t>
        </is>
      </c>
      <c r="G11" s="46" t="inlineStr">
        <is>
          <t>стерилізовані похилий вік 7-12 років</t>
        </is>
      </c>
      <c r="H11" s="46" t="n">
        <v>341</v>
      </c>
      <c r="I11" s="46" t="inlineStr">
        <is>
          <t>https://www.royalcanin.com/ua/cats/products/retail-products/sterilised-7-dry</t>
        </is>
      </c>
      <c r="J11" s="46" t="n">
        <v>34</v>
      </c>
      <c r="K11" s="46" t="n">
        <v>12</v>
      </c>
      <c r="L11" s="46" t="n">
        <v>9.199999999999999</v>
      </c>
      <c r="M11" s="46" t="n">
        <v>7.5</v>
      </c>
      <c r="N11" s="46" t="n">
        <v>5.5</v>
      </c>
      <c r="O11">
        <f>IF(J11="","",ROUND(J11/(1-N11/100),1))</f>
        <v/>
      </c>
      <c r="P11">
        <f>IF(K11="","",ROUND(K11/(1-N11/100),1))</f>
        <v/>
      </c>
      <c r="Q11">
        <f>IF(L11="","",ROUND(L11/(1-N11/100),1))</f>
        <v/>
      </c>
      <c r="R11">
        <f>IF(M11="","",ROUND(M11/(1-N11/100),1))</f>
        <v/>
      </c>
      <c r="S11" s="46" t="inlineStr">
        <is>
          <t>Дегідратовані протеїни м'яса птиці (L.I.P.), ізолят рослинних протеїнів (L.I.P.), кукурудза, рослинна клітковина, пшениця, кукурудзяний глютен, тваринні жири, гідролізат білків тваринного походження, рис, мінеральні речовини, буряковий жом, дріжджі та їх частки, риб'ячий жир, соєва олія, фруктоолігосахариди, оболонка та насіння подорожника, гідролізат із панцира ракоподібних (глюкозамін), екстракт чорнобривців (лютеїн), хрящовий гідролізат (хондроїтин)</t>
        </is>
      </c>
      <c r="T11" s="46" t="inlineStr">
        <is>
          <t>дегідратовані протеїни м'яса птиці (L.I.P.)</t>
        </is>
      </c>
      <c r="U11" s="46" t="inlineStr">
        <is>
          <t>ізолят рослинних протеїнів (L.I.P.)</t>
        </is>
      </c>
      <c r="V11" s="46" t="inlineStr">
        <is>
          <t>гідролізат білків тваринного походження</t>
        </is>
      </c>
      <c r="W11" s="46" t="n">
        <v>17000</v>
      </c>
      <c r="X11" s="46" t="n">
        <v>900</v>
      </c>
      <c r="Y11" s="46" t="n"/>
      <c r="Z11" s="46" t="n">
        <v>180</v>
      </c>
      <c r="AA11" s="46" t="n"/>
      <c r="AB11" s="46" t="n"/>
      <c r="AC11" s="46" t="n"/>
      <c r="AD11" s="46" t="n"/>
      <c r="AE11" s="46" t="n"/>
      <c r="AF11" s="46" t="n">
        <v>136</v>
      </c>
      <c r="AG11" s="46" t="inlineStr">
        <is>
          <t>оксид цинку / сульфат цинку</t>
        </is>
      </c>
      <c r="AH11" s="46" t="n"/>
      <c r="AI11" s="46" t="n"/>
      <c r="AJ11" s="46" t="n"/>
      <c r="AK11">
        <f>IF(AF11="","",IF(AH11="",IFERROR(VLOOKUP(AG11,Довідник_мінералів!$A:$B,2,0),"-"),ROUND(IFERROR(VLOOKUP(AG11,Довідник_мінералів!$A:$B,2,0),0)*AH11/100+IFERROR(VLOOKUP(AI11,Довідник_мінералів!$A:$B,2,0),0)*AJ11/100,0)))</f>
        <v/>
      </c>
      <c r="AL11" s="46" t="n">
        <v>35</v>
      </c>
      <c r="AM11" s="46" t="inlineStr">
        <is>
          <t>сульфат заліза(II)</t>
        </is>
      </c>
      <c r="AN11" s="46" t="n"/>
      <c r="AO11" s="46" t="n"/>
      <c r="AP11" s="46" t="n"/>
      <c r="AQ11">
        <f>IF(AL11="","",IF(AN11="",IFERROR(VLOOKUP(AM11,Довідник_мінералів!$A:$B,2,0),"-"),ROUND(IFERROR(VLOOKUP(AM11,Довідник_мінералів!$A:$B,2,0),0)*AN11/100+IFERROR(VLOOKUP(AO11,Довідник_мінералів!$A:$B,2,0),0)*AP11/100,0)))</f>
        <v/>
      </c>
      <c r="AR11" s="46" t="n">
        <v>11</v>
      </c>
      <c r="AS11" s="46" t="inlineStr">
        <is>
          <t>сульфат міді</t>
        </is>
      </c>
      <c r="AT11" s="46" t="n"/>
      <c r="AU11">
        <f>IF(AR11="","",IFERROR(VLOOKUP(AS11,Довідник_мінералів!$A:$B,2,0),"-"))</f>
        <v/>
      </c>
      <c r="AV11" s="46" t="n">
        <v>45</v>
      </c>
      <c r="AW11" s="46" t="inlineStr">
        <is>
          <t>оксид марганцю</t>
        </is>
      </c>
      <c r="AX11" s="46" t="n"/>
      <c r="AY11">
        <f>IF(AV11="","",IFERROR(VLOOKUP(AW11,Довідник_мінералів!$A:$B,2,0),"-"))</f>
        <v/>
      </c>
      <c r="AZ11" s="46" t="n">
        <v>0.06</v>
      </c>
      <c r="BA11" s="46" t="inlineStr">
        <is>
          <t>селеніт натрію</t>
        </is>
      </c>
      <c r="BB11">
        <f>IF(SE11="","",IFERROR(VLOOKUP(BA11,Довідник_мінералів!$A:$B,2,0),"-"))</f>
        <v/>
      </c>
      <c r="BC11" s="46" t="n">
        <v>3.5</v>
      </c>
      <c r="BD11" s="46" t="inlineStr">
        <is>
          <t>Фосфор 0.73%; EPA/DHA 3.1 г/кг; глюкозамін+хондроїтин; екстракт чаю (поліфеноли)</t>
        </is>
      </c>
    </row>
    <row r="12" ht="35" customHeight="1">
      <c r="A12" s="47" t="inlineStr">
        <is>
          <t>rc_ageing12_dry_cat</t>
        </is>
      </c>
      <c r="B12" s="47" t="inlineStr">
        <is>
          <t>Royal Canin</t>
        </is>
      </c>
      <c r="C12" s="47" t="inlineStr">
        <is>
          <t>Sterilised Ageing</t>
        </is>
      </c>
      <c r="D12" s="47" t="inlineStr">
        <is>
          <t>Sterilised Ageing 12+ (сухий)</t>
        </is>
      </c>
      <c r="E12" s="47" t="inlineStr">
        <is>
          <t>сухий</t>
        </is>
      </c>
      <c r="F12" s="47" t="inlineStr">
        <is>
          <t>кіт</t>
        </is>
      </c>
      <c r="G12" s="47" t="inlineStr">
        <is>
          <t>стерилізовані похилий вік 12+ років</t>
        </is>
      </c>
      <c r="H12" s="47" t="n"/>
      <c r="I12" s="47" t="inlineStr">
        <is>
          <t>https://www.royalcanin.com/ua/cats/products/retail-products/sterilised-ageing-12-dry</t>
        </is>
      </c>
      <c r="J12" s="47" t="n">
        <v>30</v>
      </c>
      <c r="K12" s="47" t="n">
        <v>15</v>
      </c>
      <c r="L12" s="47" t="n">
        <v>4.9</v>
      </c>
      <c r="M12" s="47" t="n">
        <v>5.4</v>
      </c>
      <c r="N12" s="47" t="n">
        <v>5.5</v>
      </c>
      <c r="O12">
        <f>IF(J12="","",ROUND(J12/(1-N12/100),1))</f>
        <v/>
      </c>
      <c r="P12">
        <f>IF(K12="","",ROUND(K12/(1-N12/100),1))</f>
        <v/>
      </c>
      <c r="Q12">
        <f>IF(L12="","",ROUND(L12/(1-N12/100),1))</f>
        <v/>
      </c>
      <c r="R12">
        <f>IF(M12="","",ROUND(M12/(1-N12/100),1))</f>
        <v/>
      </c>
      <c r="S12" s="47" t="inlineStr">
        <is>
          <t>Кукурудза, ізолят рослинних протеїнів (L.I.P.), кукурудзяне борошно, дегідратовані протеїни м'яса птиці, пшениця, кукурудзяний глютен, тваринні жири, рослинна клітковина, гідролізат білків тваринного походження, екстракт цикорію, мінеральні речовини, риб'ячий жир, соєва олія, дріжджі та їх частки, томат (лікопен), фруктоолігосахариди, оболонка та насіння подорожника, гідролізат дріжджів (МОС), гідролізат панцира ракоподібних (глюкозамін), олія огірочника, екстракт чорнобривців (лютеїн), хрящовий гідролізат (хондроїтин)</t>
        </is>
      </c>
      <c r="T12" s="47" t="inlineStr">
        <is>
          <t>ізолят рослинних протеїнів (L.I.P.)</t>
        </is>
      </c>
      <c r="U12" s="47" t="inlineStr">
        <is>
          <t>дегідратовані протеїни м'яса птиці</t>
        </is>
      </c>
      <c r="V12" s="47" t="inlineStr">
        <is>
          <t>гідролізат білків тваринного походження</t>
        </is>
      </c>
      <c r="W12" s="47" t="n">
        <v>19000</v>
      </c>
      <c r="X12" s="47" t="n">
        <v>700</v>
      </c>
      <c r="Y12" s="47" t="n"/>
      <c r="Z12" s="47" t="n"/>
      <c r="AA12" s="47" t="n"/>
      <c r="AB12" s="47" t="n"/>
      <c r="AC12" s="47" t="n"/>
      <c r="AD12" s="47" t="n"/>
      <c r="AE12" s="47" t="n"/>
      <c r="AF12" s="47" t="n">
        <v>154</v>
      </c>
      <c r="AG12" s="47" t="inlineStr">
        <is>
          <t>оксид цинку / сульфат цинку</t>
        </is>
      </c>
      <c r="AH12" s="47" t="n"/>
      <c r="AI12" s="47" t="n"/>
      <c r="AJ12" s="47" t="n"/>
      <c r="AK12">
        <f>IF(AF12="","",IF(AH12="",IFERROR(VLOOKUP(AG12,Довідник_мінералів!$A:$B,2,0),"-"),ROUND(IFERROR(VLOOKUP(AG12,Довідник_мінералів!$A:$B,2,0),0)*AH12/100+IFERROR(VLOOKUP(AI12,Довідник_мінералів!$A:$B,2,0),0)*AJ12/100,0)))</f>
        <v/>
      </c>
      <c r="AL12" s="47" t="n">
        <v>40</v>
      </c>
      <c r="AM12" s="47" t="inlineStr">
        <is>
          <t>сульфат заліза(II)</t>
        </is>
      </c>
      <c r="AN12" s="47" t="n"/>
      <c r="AO12" s="47" t="n"/>
      <c r="AP12" s="47" t="n"/>
      <c r="AQ12">
        <f>IF(AL12="","",IF(AN12="",IFERROR(VLOOKUP(AM12,Довідник_мінералів!$A:$B,2,0),"-"),ROUND(IFERROR(VLOOKUP(AM12,Довідник_мінералів!$A:$B,2,0),0)*AN12/100+IFERROR(VLOOKUP(AO12,Довідник_мінералів!$A:$B,2,0),0)*AP12/100,0)))</f>
        <v/>
      </c>
      <c r="AR12" s="47" t="n">
        <v>12</v>
      </c>
      <c r="AS12" s="47" t="inlineStr">
        <is>
          <t>сульфат міді</t>
        </is>
      </c>
      <c r="AT12" s="47" t="n"/>
      <c r="AU12">
        <f>IF(AR12="","",IFERROR(VLOOKUP(AS12,Довідник_мінералів!$A:$B,2,0),"-"))</f>
        <v/>
      </c>
      <c r="AV12" s="47" t="n">
        <v>52</v>
      </c>
      <c r="AW12" s="47" t="inlineStr">
        <is>
          <t>оксид марганцю</t>
        </is>
      </c>
      <c r="AX12" s="47" t="n"/>
      <c r="AY12">
        <f>IF(AV12="","",IFERROR(VLOOKUP(AW12,Довідник_мінералів!$A:$B,2,0),"-"))</f>
        <v/>
      </c>
      <c r="AZ12" s="47" t="n">
        <v>0.07000000000000001</v>
      </c>
      <c r="BA12" s="47" t="inlineStr">
        <is>
          <t>селеніт натрію</t>
        </is>
      </c>
      <c r="BB12">
        <f>IF(SE12="","",IFERROR(VLOOKUP(BA12,Довідник_мінералів!$A:$B,2,0),"-"))</f>
        <v/>
      </c>
      <c r="BC12" s="47" t="n">
        <v>4</v>
      </c>
      <c r="BD12" s="47" t="inlineStr">
        <is>
          <t>Фосфор 0.6%; омега-3 10.9 г/кг; лікопен 6.5 мг/кг; антиоксидантний комплекс</t>
        </is>
      </c>
    </row>
    <row r="13" ht="35" customHeight="1">
      <c r="A13" s="46" t="inlineStr">
        <is>
          <t>rc_sterilised_wet_gravy_cat</t>
        </is>
      </c>
      <c r="B13" s="46" t="inlineStr">
        <is>
          <t>Royal Canin</t>
        </is>
      </c>
      <c r="C13" s="46" t="inlineStr">
        <is>
          <t>Sterilised</t>
        </is>
      </c>
      <c r="D13" s="46" t="inlineStr">
        <is>
          <t>Sterilised (вологий, соус)</t>
        </is>
      </c>
      <c r="E13" s="46" t="inlineStr">
        <is>
          <t>вологий</t>
        </is>
      </c>
      <c r="F13" s="46" t="inlineStr">
        <is>
          <t>кіт</t>
        </is>
      </c>
      <c r="G13" s="46" t="inlineStr">
        <is>
          <t>стерилізовані</t>
        </is>
      </c>
      <c r="H13" s="46" t="n">
        <v>85</v>
      </c>
      <c r="I13" s="46" t="inlineStr">
        <is>
          <t>https://www.royalcanin.com/ua/cats/products/retail-products/sterilised-gravy-wet</t>
        </is>
      </c>
      <c r="J13" s="46" t="n">
        <v>8.9</v>
      </c>
      <c r="K13" s="46" t="n">
        <v>2.6</v>
      </c>
      <c r="L13" s="46" t="n">
        <v>1.4</v>
      </c>
      <c r="M13" s="46" t="n">
        <v>1.5</v>
      </c>
      <c r="N13" s="46" t="n">
        <v>81</v>
      </c>
      <c r="O13">
        <f>IF(J13="","",ROUND(J13/(1-N13/100),1))</f>
        <v/>
      </c>
      <c r="P13">
        <f>IF(K13="","",ROUND(K13/(1-N13/100),1))</f>
        <v/>
      </c>
      <c r="Q13">
        <f>IF(L13="","",ROUND(L13/(1-N13/100),1))</f>
        <v/>
      </c>
      <c r="R13">
        <f>IF(M13="","",ROUND(M13/(1-N13/100),1))</f>
        <v/>
      </c>
      <c r="S13" s="46" t="inlineStr">
        <is>
          <t>М'ясо та субпродукти тваринного походження, злакові, субпродукти рослинного походження, мінеральні речовини, дріжджі</t>
        </is>
      </c>
      <c r="T13" s="46" t="inlineStr">
        <is>
          <t>м'ясо та субпродукти тваринного походження</t>
        </is>
      </c>
      <c r="U13" s="46" t="inlineStr">
        <is>
          <t>злакові</t>
        </is>
      </c>
      <c r="V13" s="46" t="inlineStr">
        <is>
          <t>субпродукти рослинного походження</t>
        </is>
      </c>
      <c r="W13" s="46" t="n"/>
      <c r="X13" s="46" t="n">
        <v>80</v>
      </c>
      <c r="Y13" s="46" t="n"/>
      <c r="Z13" s="46" t="n"/>
      <c r="AA13" s="46" t="n"/>
      <c r="AB13" s="46" t="n"/>
      <c r="AC13" s="46" t="n"/>
      <c r="AD13" s="46" t="n"/>
      <c r="AE13" s="46" t="n"/>
      <c r="AF13" s="46" t="n">
        <v>9</v>
      </c>
      <c r="AG13" s="46" t="inlineStr">
        <is>
          <t>оксид цинку / сульфат цинку</t>
        </is>
      </c>
      <c r="AH13" s="46" t="n"/>
      <c r="AI13" s="46" t="n"/>
      <c r="AJ13" s="46" t="n"/>
      <c r="AK13">
        <f>IF(AF13="","",IF(AH13="",IFERROR(VLOOKUP(AG13,Довідник_мінералів!$A:$B,2,0),"-"),ROUND(IFERROR(VLOOKUP(AG13,Довідник_мінералів!$A:$B,2,0),0)*AH13/100+IFERROR(VLOOKUP(AI13,Довідник_мінералів!$A:$B,2,0),0)*AJ13/100,0)))</f>
        <v/>
      </c>
      <c r="AL13" s="46" t="n">
        <v>3</v>
      </c>
      <c r="AM13" s="46" t="inlineStr">
        <is>
          <t>сульфат заліза(II)</t>
        </is>
      </c>
      <c r="AN13" s="46" t="n"/>
      <c r="AO13" s="46" t="n"/>
      <c r="AP13" s="46" t="n"/>
      <c r="AQ13">
        <f>IF(AL13="","",IF(AN13="",IFERROR(VLOOKUP(AM13,Довідник_мінералів!$A:$B,2,0),"-"),ROUND(IFERROR(VLOOKUP(AM13,Довідник_мінералів!$A:$B,2,0),0)*AN13/100+IFERROR(VLOOKUP(AO13,Довідник_мінералів!$A:$B,2,0),0)*AP13/100,0)))</f>
        <v/>
      </c>
      <c r="AR13" s="46" t="n">
        <v>2.5</v>
      </c>
      <c r="AS13" s="46" t="inlineStr">
        <is>
          <t>сульфат міді</t>
        </is>
      </c>
      <c r="AT13" s="46" t="n"/>
      <c r="AU13">
        <f>IF(AR13="","",IFERROR(VLOOKUP(AS13,Довідник_мінералів!$A:$B,2,0),"-"))</f>
        <v/>
      </c>
      <c r="AV13" s="46" t="n">
        <v>0.9</v>
      </c>
      <c r="AW13" s="46" t="inlineStr">
        <is>
          <t>оксид марганцю</t>
        </is>
      </c>
      <c r="AX13" s="46" t="n"/>
      <c r="AY13">
        <f>IF(AV13="","",IFERROR(VLOOKUP(AW13,Довідник_мінералів!$A:$B,2,0),"-"))</f>
        <v/>
      </c>
      <c r="AZ13" s="46" t="n"/>
      <c r="BA13" s="46" t="n"/>
      <c r="BB13">
        <f>IF(SE13="","",IFERROR(VLOOKUP(BA13,Довідник_мінералів!$A:$B,2,0),"-"))</f>
        <v/>
      </c>
      <c r="BC13" s="46" t="n">
        <v>0.31</v>
      </c>
      <c r="BD13" s="46" t="inlineStr">
        <is>
          <t>вологість 81%; кальцій, фосфор не вказані</t>
        </is>
      </c>
    </row>
    <row r="14" ht="35" customHeight="1">
      <c r="A14" s="48" t="inlineStr">
        <is>
          <t>rc_kitten_loaf_wet_cat</t>
        </is>
      </c>
      <c r="B14" s="48" t="inlineStr">
        <is>
          <t>Royal Canin</t>
        </is>
      </c>
      <c r="C14" s="48" t="inlineStr">
        <is>
          <t>Kitten</t>
        </is>
      </c>
      <c r="D14" s="48" t="inlineStr">
        <is>
          <t>Kitten Loaf (вологий, паштет)</t>
        </is>
      </c>
      <c r="E14" s="48" t="inlineStr">
        <is>
          <t>вологий</t>
        </is>
      </c>
      <c r="F14" s="48" t="inlineStr">
        <is>
          <t>кіт</t>
        </is>
      </c>
      <c r="G14" s="48" t="inlineStr">
        <is>
          <t>кошенята 4-12 міс</t>
        </is>
      </c>
      <c r="H14" s="48" t="n"/>
      <c r="I14" s="48" t="inlineStr">
        <is>
          <t>https://www.royalcanin.com/ua/cats/products/retail-products/kitten-loaf-wet</t>
        </is>
      </c>
      <c r="J14" s="48" t="n">
        <v>12.3</v>
      </c>
      <c r="K14" s="48" t="n">
        <v>4.3</v>
      </c>
      <c r="L14" s="48" t="n">
        <v>1</v>
      </c>
      <c r="M14" s="48" t="n">
        <v>2</v>
      </c>
      <c r="N14" s="48" t="n">
        <v>78</v>
      </c>
      <c r="O14">
        <f>IF(J14="","",ROUND(J14/(1-N14/100),1))</f>
        <v/>
      </c>
      <c r="P14">
        <f>IF(K14="","",ROUND(K14/(1-N14/100),1))</f>
        <v/>
      </c>
      <c r="Q14">
        <f>IF(L14="","",ROUND(L14/(1-N14/100),1))</f>
        <v/>
      </c>
      <c r="R14">
        <f>IF(M14="","",ROUND(M14/(1-N14/100),1))</f>
        <v/>
      </c>
      <c r="S14" s="48" t="inlineStr">
        <is>
          <t>М'ясо та м'ясні субпродукти, злакові, екстракти рослинних протеїнів, субпродукти рослинного походження, мінеральні речовини, вуглеводи, дріжджі, олії та жири</t>
        </is>
      </c>
      <c r="T14" s="48" t="inlineStr">
        <is>
          <t>м'ясо та м'ясні субпродукти</t>
        </is>
      </c>
      <c r="U14" s="48" t="inlineStr">
        <is>
          <t>екстракти рослинних протеїнів</t>
        </is>
      </c>
      <c r="V14" s="48" t="inlineStr">
        <is>
          <t>злакові</t>
        </is>
      </c>
      <c r="W14" s="48" t="n"/>
      <c r="X14" s="48" t="n">
        <v>195</v>
      </c>
      <c r="Y14" s="48" t="n"/>
      <c r="Z14" s="48" t="n"/>
      <c r="AA14" s="48" t="n"/>
      <c r="AB14" s="48" t="n"/>
      <c r="AC14" s="48" t="n"/>
      <c r="AD14" s="48" t="n"/>
      <c r="AE14" s="48" t="n"/>
      <c r="AF14" s="48" t="n">
        <v>9</v>
      </c>
      <c r="AG14" s="48" t="inlineStr">
        <is>
          <t>оксид цинку / сульфат цинку</t>
        </is>
      </c>
      <c r="AH14" s="48" t="n"/>
      <c r="AI14" s="48" t="n"/>
      <c r="AJ14" s="48" t="n"/>
      <c r="AK14">
        <f>IF(AF14="","",IF(AH14="",IFERROR(VLOOKUP(AG14,Довідник_мінералів!$A:$B,2,0),"-"),ROUND(IFERROR(VLOOKUP(AG14,Довідник_мінералів!$A:$B,2,0),0)*AH14/100+IFERROR(VLOOKUP(AI14,Довідник_мінералів!$A:$B,2,0),0)*AJ14/100,0)))</f>
        <v/>
      </c>
      <c r="AL14" s="48" t="n">
        <v>2.8</v>
      </c>
      <c r="AM14" s="48" t="inlineStr">
        <is>
          <t>сульфат заліза(II)</t>
        </is>
      </c>
      <c r="AN14" s="48" t="n"/>
      <c r="AO14" s="48" t="n"/>
      <c r="AP14" s="48" t="n"/>
      <c r="AQ14">
        <f>IF(AL14="","",IF(AN14="",IFERROR(VLOOKUP(AM14,Довідник_мінералів!$A:$B,2,0),"-"),ROUND(IFERROR(VLOOKUP(AM14,Довідник_мінералів!$A:$B,2,0),0)*AN14/100+IFERROR(VLOOKUP(AO14,Довідник_мінералів!$A:$B,2,0),0)*AP14/100,0)))</f>
        <v/>
      </c>
      <c r="AR14" s="48" t="n">
        <v>3.4</v>
      </c>
      <c r="AS14" s="48" t="inlineStr">
        <is>
          <t>сульфат міді</t>
        </is>
      </c>
      <c r="AT14" s="48" t="n"/>
      <c r="AU14">
        <f>IF(AR14="","",IFERROR(VLOOKUP(AS14,Довідник_мінералів!$A:$B,2,0),"-"))</f>
        <v/>
      </c>
      <c r="AV14" s="48" t="n">
        <v>0.8</v>
      </c>
      <c r="AW14" s="48" t="inlineStr">
        <is>
          <t>оксид марганцю</t>
        </is>
      </c>
      <c r="AX14" s="48" t="n"/>
      <c r="AY14">
        <f>IF(AV14="","",IFERROR(VLOOKUP(AW14,Довідник_мінералів!$A:$B,2,0),"-"))</f>
        <v/>
      </c>
      <c r="AZ14" s="48" t="n"/>
      <c r="BA14" s="48" t="n"/>
      <c r="BB14">
        <f>IF(SE14="","",IFERROR(VLOOKUP(BA14,Довідник_мінералів!$A:$B,2,0),"-"))</f>
        <v/>
      </c>
      <c r="BC14" s="48" t="n">
        <v>0.43</v>
      </c>
      <c r="BD14" s="48" t="inlineStr">
        <is>
          <t>Паштет для кошенят 4-12 міс; текстура адаптована для молочних зубів</t>
        </is>
      </c>
    </row>
    <row r="15" ht="35" customHeight="1">
      <c r="A15" s="46" t="inlineStr">
        <is>
          <t>rc_kitten_gravy_wet_cat</t>
        </is>
      </c>
      <c r="B15" s="46" t="inlineStr">
        <is>
          <t>Royal Canin</t>
        </is>
      </c>
      <c r="C15" s="46" t="inlineStr">
        <is>
          <t>Kitten</t>
        </is>
      </c>
      <c r="D15" s="46" t="inlineStr">
        <is>
          <t>Kitten Instinctive (вологий, соус)</t>
        </is>
      </c>
      <c r="E15" s="46" t="inlineStr">
        <is>
          <t>вологий</t>
        </is>
      </c>
      <c r="F15" s="46" t="inlineStr">
        <is>
          <t>кіт</t>
        </is>
      </c>
      <c r="G15" s="46" t="inlineStr">
        <is>
          <t>кошенята 4-12 міс</t>
        </is>
      </c>
      <c r="H15" s="46" t="n"/>
      <c r="I15" s="46" t="inlineStr">
        <is>
          <t>https://www.royalcanin.com/ua/cats/products/retail-products/kitten-instinctive-gravy-wet</t>
        </is>
      </c>
      <c r="J15" s="46" t="n">
        <v>12</v>
      </c>
      <c r="K15" s="46" t="n">
        <v>4</v>
      </c>
      <c r="L15" s="46" t="n">
        <v>0.7</v>
      </c>
      <c r="M15" s="46" t="n">
        <v>1.7</v>
      </c>
      <c r="N15" s="46" t="n">
        <v>78.2</v>
      </c>
      <c r="O15">
        <f>IF(J15="","",ROUND(J15/(1-N15/100),1))</f>
        <v/>
      </c>
      <c r="P15">
        <f>IF(K15="","",ROUND(K15/(1-N15/100),1))</f>
        <v/>
      </c>
      <c r="Q15">
        <f>IF(L15="","",ROUND(L15/(1-N15/100),1))</f>
        <v/>
      </c>
      <c r="R15">
        <f>IF(M15="","",ROUND(M15/(1-N15/100),1))</f>
        <v/>
      </c>
      <c r="S15" s="46" t="inlineStr">
        <is>
          <t>М'ясо та субпродукти тваринного походження, екстракти рослинних протеїнів, злакові, субпродукти рослинного походження, мінеральні речовини, олії та жири, дріжджі</t>
        </is>
      </c>
      <c r="T15" s="46" t="inlineStr">
        <is>
          <t>м'ясо та субпродукти тваринного походження</t>
        </is>
      </c>
      <c r="U15" s="46" t="inlineStr">
        <is>
          <t>екстракти рослинних протеїнів</t>
        </is>
      </c>
      <c r="V15" s="46" t="inlineStr">
        <is>
          <t>злакові</t>
        </is>
      </c>
      <c r="W15" s="46" t="n"/>
      <c r="X15" s="46" t="n"/>
      <c r="Y15" s="46" t="n"/>
      <c r="Z15" s="46" t="n"/>
      <c r="AA15" s="46" t="n"/>
      <c r="AB15" s="46" t="n"/>
      <c r="AC15" s="46" t="n"/>
      <c r="AD15" s="46" t="n"/>
      <c r="AE15" s="46" t="n"/>
      <c r="AF15" s="46" t="n"/>
      <c r="AG15" s="46" t="n"/>
      <c r="AH15" s="46" t="n"/>
      <c r="AI15" s="46" t="n"/>
      <c r="AJ15" s="46" t="n"/>
      <c r="AK15">
        <f>IF(AF15="","",IF(AH15="",IFERROR(VLOOKUP(AG15,Довідник_мінералів!$A:$B,2,0),"-"),ROUND(IFERROR(VLOOKUP(AG15,Довідник_мінералів!$A:$B,2,0),0)*AH15/100+IFERROR(VLOOKUP(AI15,Довідник_мінералів!$A:$B,2,0),0)*AJ15/100,0)))</f>
        <v/>
      </c>
      <c r="AL15" s="46" t="n"/>
      <c r="AM15" s="46" t="n"/>
      <c r="AN15" s="46" t="n"/>
      <c r="AO15" s="46" t="n"/>
      <c r="AP15" s="46" t="n"/>
      <c r="AQ15">
        <f>IF(AL15="","",IF(AN15="",IFERROR(VLOOKUP(AM15,Довідник_мінералів!$A:$B,2,0),"-"),ROUND(IFERROR(VLOOKUP(AM15,Довідник_мінералів!$A:$B,2,0),0)*AN15/100+IFERROR(VLOOKUP(AO15,Довідник_мінералів!$A:$B,2,0),0)*AP15/100,0)))</f>
        <v/>
      </c>
      <c r="AR15" s="46" t="n"/>
      <c r="AS15" s="46" t="n"/>
      <c r="AT15" s="46" t="n"/>
      <c r="AU15">
        <f>IF(AR15="","",IFERROR(VLOOKUP(AS15,Довідник_мінералів!$A:$B,2,0),"-"))</f>
        <v/>
      </c>
      <c r="AV15" s="46" t="n"/>
      <c r="AW15" s="46" t="n"/>
      <c r="AX15" s="46" t="n"/>
      <c r="AY15">
        <f>IF(AV15="","",IFERROR(VLOOKUP(AW15,Довідник_мінералів!$A:$B,2,0),"-"))</f>
        <v/>
      </c>
      <c r="AZ15" s="46" t="n"/>
      <c r="BA15" s="46" t="n"/>
      <c r="BB15">
        <f>IF(SE15="","",IFERROR(VLOOKUP(BA15,Довідник_мінералів!$A:$B,2,0),"-"))</f>
        <v/>
      </c>
      <c r="BC15" s="46" t="n"/>
      <c r="BD15" s="46" t="inlineStr">
        <is>
          <t>Шматочки у соусі; Ca 0.25%, P 0.21%, Mg 0.02%</t>
        </is>
      </c>
    </row>
    <row r="16" ht="35" customHeight="1">
      <c r="A16" s="48" t="inlineStr">
        <is>
          <t>rc_mother_babycat_mousse_cat</t>
        </is>
      </c>
      <c r="B16" s="48" t="inlineStr">
        <is>
          <t>Royal Canin</t>
        </is>
      </c>
      <c r="C16" s="48" t="inlineStr">
        <is>
          <t>Mother &amp; Babycat</t>
        </is>
      </c>
      <c r="D16" s="48" t="inlineStr">
        <is>
          <t>Mother &amp; Babycat Ultra Soft Mousse</t>
        </is>
      </c>
      <c r="E16" s="48" t="inlineStr">
        <is>
          <t>вологий</t>
        </is>
      </c>
      <c r="F16" s="48" t="inlineStr">
        <is>
          <t>кіт</t>
        </is>
      </c>
      <c r="G16" s="48" t="inlineStr">
        <is>
          <t>вагітні/годуючі + кошенята до 4 міс</t>
        </is>
      </c>
      <c r="H16" s="48" t="n"/>
      <c r="I16" s="48" t="inlineStr">
        <is>
          <t>https://www.royalcanin.com/ua/cats/products/retail-products/mother-babycat-ultra-soft-mousse-wet</t>
        </is>
      </c>
      <c r="J16" s="48" t="n">
        <v>10.5</v>
      </c>
      <c r="K16" s="48" t="n">
        <v>5.5</v>
      </c>
      <c r="L16" s="48" t="n">
        <v>0.8</v>
      </c>
      <c r="M16" s="48" t="n">
        <v>1.7</v>
      </c>
      <c r="N16" s="48" t="n">
        <v>78.7</v>
      </c>
      <c r="O16">
        <f>IF(J16="","",ROUND(J16/(1-N16/100),1))</f>
        <v/>
      </c>
      <c r="P16">
        <f>IF(K16="","",ROUND(K16/(1-N16/100),1))</f>
        <v/>
      </c>
      <c r="Q16">
        <f>IF(L16="","",ROUND(L16/(1-N16/100),1))</f>
        <v/>
      </c>
      <c r="R16">
        <f>IF(M16="","",ROUND(M16/(1-N16/100),1))</f>
        <v/>
      </c>
      <c r="S16" s="48" t="inlineStr">
        <is>
          <t>М'ясо та субпродукти тваринного походження, олії та жири, злакові, молоко та молочні продукти, субпродукти рослинного походження, мінеральні речовини, дріжджі</t>
        </is>
      </c>
      <c r="T16" s="48" t="inlineStr">
        <is>
          <t>м'ясо та субпродукти тваринного походження</t>
        </is>
      </c>
      <c r="U16" s="48" t="inlineStr">
        <is>
          <t>молоко та молочні продукти</t>
        </is>
      </c>
      <c r="V16" s="48" t="inlineStr">
        <is>
          <t>олії та жири</t>
        </is>
      </c>
      <c r="W16" s="48" t="n"/>
      <c r="X16" s="48" t="n">
        <v>120</v>
      </c>
      <c r="Y16" s="48" t="n"/>
      <c r="Z16" s="48" t="n"/>
      <c r="AA16" s="48" t="n"/>
      <c r="AB16" s="48" t="n"/>
      <c r="AC16" s="48" t="n"/>
      <c r="AD16" s="48" t="n"/>
      <c r="AE16" s="48" t="n"/>
      <c r="AF16" s="48" t="n">
        <v>15</v>
      </c>
      <c r="AG16" s="48" t="inlineStr">
        <is>
          <t>оксид цинку / сульфат цинку</t>
        </is>
      </c>
      <c r="AH16" s="48" t="n"/>
      <c r="AI16" s="48" t="n"/>
      <c r="AJ16" s="48" t="n"/>
      <c r="AK16">
        <f>IF(AF16="","",IF(AH16="",IFERROR(VLOOKUP(AG16,Довідник_мінералів!$A:$B,2,0),"-"),ROUND(IFERROR(VLOOKUP(AG16,Довідник_мінералів!$A:$B,2,0),0)*AH16/100+IFERROR(VLOOKUP(AI16,Довідник_мінералів!$A:$B,2,0),0)*AJ16/100,0)))</f>
        <v/>
      </c>
      <c r="AL16" s="48" t="n">
        <v>5</v>
      </c>
      <c r="AM16" s="48" t="inlineStr">
        <is>
          <t>сульфат заліза(II)</t>
        </is>
      </c>
      <c r="AN16" s="48" t="n"/>
      <c r="AO16" s="48" t="n"/>
      <c r="AP16" s="48" t="n"/>
      <c r="AQ16">
        <f>IF(AL16="","",IF(AN16="",IFERROR(VLOOKUP(AM16,Довідник_мінералів!$A:$B,2,0),"-"),ROUND(IFERROR(VLOOKUP(AM16,Довідник_мінералів!$A:$B,2,0),0)*AN16/100+IFERROR(VLOOKUP(AO16,Довідник_мінералів!$A:$B,2,0),0)*AP16/100,0)))</f>
        <v/>
      </c>
      <c r="AR16" s="48" t="n">
        <v>3.3</v>
      </c>
      <c r="AS16" s="48" t="inlineStr">
        <is>
          <t>сульфат міді</t>
        </is>
      </c>
      <c r="AT16" s="48" t="n"/>
      <c r="AU16">
        <f>IF(AR16="","",IFERROR(VLOOKUP(AS16,Довідник_мінералів!$A:$B,2,0),"-"))</f>
        <v/>
      </c>
      <c r="AV16" s="48" t="n">
        <v>1.5</v>
      </c>
      <c r="AW16" s="48" t="inlineStr">
        <is>
          <t>оксид марганцю</t>
        </is>
      </c>
      <c r="AX16" s="48" t="n"/>
      <c r="AY16">
        <f>IF(AV16="","",IFERROR(VLOOKUP(AW16,Довідник_мінералів!$A:$B,2,0),"-"))</f>
        <v/>
      </c>
      <c r="AZ16" s="48" t="n"/>
      <c r="BA16" s="48" t="n"/>
      <c r="BB16">
        <f>IF(SE16="","",IFERROR(VLOOKUP(BA16,Довідник_мінералів!$A:$B,2,0),"-"))</f>
        <v/>
      </c>
      <c r="BC16" s="48" t="n">
        <v>0.4</v>
      </c>
      <c r="BD16" s="48" t="inlineStr">
        <is>
          <t>Мус; містить молоко; ДГК для розвитку мозку; вологість 78.7%</t>
        </is>
      </c>
    </row>
    <row r="17" ht="35" customHeight="1">
      <c r="A17" s="46" t="inlineStr">
        <is>
          <t>rc_babycat_instinctive_wet_cat</t>
        </is>
      </c>
      <c r="B17" s="46" t="inlineStr">
        <is>
          <t>Royal Canin</t>
        </is>
      </c>
      <c r="C17" s="46" t="inlineStr">
        <is>
          <t>Babycat</t>
        </is>
      </c>
      <c r="D17" s="46" t="inlineStr">
        <is>
          <t>Babycat Instinctive (вологий, мус)</t>
        </is>
      </c>
      <c r="E17" s="46" t="inlineStr">
        <is>
          <t>вологий</t>
        </is>
      </c>
      <c r="F17" s="46" t="inlineStr">
        <is>
          <t>кіт</t>
        </is>
      </c>
      <c r="G17" s="46" t="inlineStr">
        <is>
          <t>кошенята до 4 міс + вагітні/годуючі</t>
        </is>
      </c>
      <c r="H17" s="46" t="n"/>
      <c r="I17" s="46" t="inlineStr">
        <is>
          <t>https://www.royalcanin.com/ua/cats/products/retail-products/babycat-instinctive-wet</t>
        </is>
      </c>
      <c r="J17" s="46" t="n">
        <v>10.5</v>
      </c>
      <c r="K17" s="46" t="n">
        <v>5.5</v>
      </c>
      <c r="L17" s="46" t="n">
        <v>0.9</v>
      </c>
      <c r="M17" s="46" t="n">
        <v>1.9</v>
      </c>
      <c r="N17" s="46" t="n">
        <v>79</v>
      </c>
      <c r="O17">
        <f>IF(J17="","",ROUND(J17/(1-N17/100),1))</f>
        <v/>
      </c>
      <c r="P17">
        <f>IF(K17="","",ROUND(K17/(1-N17/100),1))</f>
        <v/>
      </c>
      <c r="Q17">
        <f>IF(L17="","",ROUND(L17/(1-N17/100),1))</f>
        <v/>
      </c>
      <c r="R17">
        <f>IF(M17="","",ROUND(M17/(1-N17/100),1))</f>
        <v/>
      </c>
      <c r="S17" s="46" t="inlineStr">
        <is>
          <t>М'ясо і м'ясні субпродукти, злаки, масла і жири, субпродукти рослинного походження, молоко і молочні продукти, мінеральні речовини, дріжджі, вуглеводи</t>
        </is>
      </c>
      <c r="T17" s="46" t="inlineStr">
        <is>
          <t>м'ясо і м'ясні субпродукти</t>
        </is>
      </c>
      <c r="U17" s="46" t="inlineStr">
        <is>
          <t>молоко і молочні продукти</t>
        </is>
      </c>
      <c r="V17" s="46" t="inlineStr">
        <is>
          <t>масла і жири</t>
        </is>
      </c>
      <c r="W17" s="46" t="n"/>
      <c r="X17" s="46" t="n">
        <v>130</v>
      </c>
      <c r="Y17" s="46" t="n"/>
      <c r="Z17" s="46" t="n"/>
      <c r="AA17" s="46" t="n"/>
      <c r="AB17" s="46" t="n"/>
      <c r="AC17" s="46" t="n"/>
      <c r="AD17" s="46" t="n"/>
      <c r="AE17" s="46" t="n"/>
      <c r="AF17" s="46" t="n">
        <v>15</v>
      </c>
      <c r="AG17" s="46" t="inlineStr">
        <is>
          <t>оксид цинку / сульфат цинку</t>
        </is>
      </c>
      <c r="AH17" s="46" t="n"/>
      <c r="AI17" s="46" t="n"/>
      <c r="AJ17" s="46" t="n"/>
      <c r="AK17">
        <f>IF(AF17="","",IF(AH17="",IFERROR(VLOOKUP(AG17,Довідник_мінералів!$A:$B,2,0),"-"),ROUND(IFERROR(VLOOKUP(AG17,Довідник_мінералів!$A:$B,2,0),0)*AH17/100+IFERROR(VLOOKUP(AI17,Довідник_мінералів!$A:$B,2,0),0)*AJ17/100,0)))</f>
        <v/>
      </c>
      <c r="AL17" s="46" t="n">
        <v>5</v>
      </c>
      <c r="AM17" s="46" t="inlineStr">
        <is>
          <t>сульфат заліза(II)</t>
        </is>
      </c>
      <c r="AN17" s="46" t="n"/>
      <c r="AO17" s="46" t="n"/>
      <c r="AP17" s="46" t="n"/>
      <c r="AQ17">
        <f>IF(AL17="","",IF(AN17="",IFERROR(VLOOKUP(AM17,Довідник_мінералів!$A:$B,2,0),"-"),ROUND(IFERROR(VLOOKUP(AM17,Довідник_мінералів!$A:$B,2,0),0)*AN17/100+IFERROR(VLOOKUP(AO17,Довідник_мінералів!$A:$B,2,0),0)*AP17/100,0)))</f>
        <v/>
      </c>
      <c r="AR17" s="46" t="n">
        <v>3</v>
      </c>
      <c r="AS17" s="46" t="inlineStr">
        <is>
          <t>сульфат міді</t>
        </is>
      </c>
      <c r="AT17" s="46" t="n"/>
      <c r="AU17">
        <f>IF(AR17="","",IFERROR(VLOOKUP(AS17,Довідник_мінералів!$A:$B,2,0),"-"))</f>
        <v/>
      </c>
      <c r="AV17" s="46" t="n">
        <v>1.5</v>
      </c>
      <c r="AW17" s="46" t="inlineStr">
        <is>
          <t>оксид марганцю</t>
        </is>
      </c>
      <c r="AX17" s="46" t="n"/>
      <c r="AY17">
        <f>IF(AV17="","",IFERROR(VLOOKUP(AW17,Довідник_мінералів!$A:$B,2,0),"-"))</f>
        <v/>
      </c>
      <c r="AZ17" s="46" t="n"/>
      <c r="BA17" s="46" t="n"/>
      <c r="BB17">
        <f>IF(SE17="","",IFERROR(VLOOKUP(BA17,Довідник_мінералів!$A:$B,2,0),"-"))</f>
        <v/>
      </c>
      <c r="BC17" s="46" t="n">
        <v>0.37</v>
      </c>
      <c r="BD17" s="46" t="inlineStr">
        <is>
          <t>Мус для кошенят до 4 міс; містить молоко; вологість 79%</t>
        </is>
      </c>
    </row>
    <row r="18" ht="35" customHeight="1">
      <c r="A18" s="48" t="inlineStr">
        <is>
          <t>rc_instinctive_gravy_wet_cat</t>
        </is>
      </c>
      <c r="B18" s="48" t="inlineStr">
        <is>
          <t>Royal Canin</t>
        </is>
      </c>
      <c r="C18" s="48" t="inlineStr">
        <is>
          <t>Instinctive</t>
        </is>
      </c>
      <c r="D18" s="48" t="inlineStr">
        <is>
          <t>Instinctive (вологий, соус)</t>
        </is>
      </c>
      <c r="E18" s="48" t="inlineStr">
        <is>
          <t>вологий</t>
        </is>
      </c>
      <c r="F18" s="48" t="inlineStr">
        <is>
          <t>кіт</t>
        </is>
      </c>
      <c r="G18" s="48" t="inlineStr">
        <is>
          <t>здоровий дорослий</t>
        </is>
      </c>
      <c r="H18" s="48" t="n"/>
      <c r="I18" s="48" t="inlineStr">
        <is>
          <t>https://www.royalcanin.com/ua/cats/products/retail-products/instinctive-gravy-wet</t>
        </is>
      </c>
      <c r="J18" s="48" t="n">
        <v>12</v>
      </c>
      <c r="K18" s="48" t="n">
        <v>2.8</v>
      </c>
      <c r="L18" s="48" t="n">
        <v>0.9</v>
      </c>
      <c r="M18" s="48" t="n">
        <v>1.5</v>
      </c>
      <c r="N18" s="48" t="n">
        <v>79.5</v>
      </c>
      <c r="O18">
        <f>IF(J18="","",ROUND(J18/(1-N18/100),1))</f>
        <v/>
      </c>
      <c r="P18">
        <f>IF(K18="","",ROUND(K18/(1-N18/100),1))</f>
        <v/>
      </c>
      <c r="Q18">
        <f>IF(L18="","",ROUND(L18/(1-N18/100),1))</f>
        <v/>
      </c>
      <c r="R18">
        <f>IF(M18="","",ROUND(M18/(1-N18/100),1))</f>
        <v/>
      </c>
      <c r="S18" s="48" t="inlineStr">
        <is>
          <t>М'ясо та м'ясні субпродукти, риба та рибні субпродукти, екстракти рослинних протеїнів, злакові, субпродукти рослинного походження, мінеральні речовини, вуглеводи</t>
        </is>
      </c>
      <c r="T18" s="48" t="inlineStr">
        <is>
          <t>м'ясо та м'ясні субпродукти</t>
        </is>
      </c>
      <c r="U18" s="48" t="inlineStr">
        <is>
          <t>риба та рибні субпродукти</t>
        </is>
      </c>
      <c r="V18" s="48" t="inlineStr">
        <is>
          <t>екстракти рослинних протеїнів</t>
        </is>
      </c>
      <c r="W18" s="48" t="n"/>
      <c r="X18" s="48" t="n">
        <v>35</v>
      </c>
      <c r="Y18" s="48" t="n"/>
      <c r="Z18" s="48" t="n"/>
      <c r="AA18" s="48" t="n"/>
      <c r="AB18" s="48" t="n"/>
      <c r="AC18" s="48" t="n"/>
      <c r="AD18" s="48" t="n"/>
      <c r="AE18" s="48" t="n"/>
      <c r="AF18" s="48" t="n">
        <v>9</v>
      </c>
      <c r="AG18" s="48" t="inlineStr">
        <is>
          <t>оксид цинку / сульфат цинку</t>
        </is>
      </c>
      <c r="AH18" s="48" t="n"/>
      <c r="AI18" s="48" t="n"/>
      <c r="AJ18" s="48" t="n"/>
      <c r="AK18">
        <f>IF(AF18="","",IF(AH18="",IFERROR(VLOOKUP(AG18,Довідник_мінералів!$A:$B,2,0),"-"),ROUND(IFERROR(VLOOKUP(AG18,Довідник_мінералів!$A:$B,2,0),0)*AH18/100+IFERROR(VLOOKUP(AI18,Довідник_мінералів!$A:$B,2,0),0)*AJ18/100,0)))</f>
        <v/>
      </c>
      <c r="AL18" s="48" t="n">
        <v>3</v>
      </c>
      <c r="AM18" s="48" t="inlineStr">
        <is>
          <t>сульфат заліза(II)</t>
        </is>
      </c>
      <c r="AN18" s="48" t="n"/>
      <c r="AO18" s="48" t="n"/>
      <c r="AP18" s="48" t="n"/>
      <c r="AQ18">
        <f>IF(AL18="","",IF(AN18="",IFERROR(VLOOKUP(AM18,Довідник_мінералів!$A:$B,2,0),"-"),ROUND(IFERROR(VLOOKUP(AM18,Довідник_мінералів!$A:$B,2,0),0)*AN18/100+IFERROR(VLOOKUP(AO18,Довідник_мінералів!$A:$B,2,0),0)*AP18/100,0)))</f>
        <v/>
      </c>
      <c r="AR18" s="48" t="n">
        <v>2.8</v>
      </c>
      <c r="AS18" s="48" t="inlineStr">
        <is>
          <t>сульфат міді</t>
        </is>
      </c>
      <c r="AT18" s="48" t="n"/>
      <c r="AU18">
        <f>IF(AR18="","",IFERROR(VLOOKUP(AS18,Довідник_мінералів!$A:$B,2,0),"-"))</f>
        <v/>
      </c>
      <c r="AV18" s="48" t="n">
        <v>0.9</v>
      </c>
      <c r="AW18" s="48" t="inlineStr">
        <is>
          <t>оксид марганцю</t>
        </is>
      </c>
      <c r="AX18" s="48" t="n"/>
      <c r="AY18">
        <f>IF(AV18="","",IFERROR(VLOOKUP(AW18,Довідник_мінералів!$A:$B,2,0),"-"))</f>
        <v/>
      </c>
      <c r="AZ18" s="48" t="n"/>
      <c r="BA18" s="48" t="n"/>
      <c r="BB18">
        <f>IF(SE18="","",IFERROR(VLOOKUP(BA18,Довідник_мінералів!$A:$B,2,0),"-"))</f>
        <v/>
      </c>
      <c r="BC18" s="48" t="n">
        <v>0.35</v>
      </c>
      <c r="BD18" s="48" t="inlineStr">
        <is>
          <t>Шматочки у соусі; макронутрієнтний профіль для дорослих котів</t>
        </is>
      </c>
    </row>
    <row r="19" ht="35" customHeight="1">
      <c r="A19" s="46" t="inlineStr">
        <is>
          <t>rc_instinctive_loaf_wet_cat</t>
        </is>
      </c>
      <c r="B19" s="46" t="inlineStr">
        <is>
          <t>Royal Canin</t>
        </is>
      </c>
      <c r="C19" s="46" t="inlineStr">
        <is>
          <t>Instinctive</t>
        </is>
      </c>
      <c r="D19" s="46" t="inlineStr">
        <is>
          <t>Instinctive Loaf (вологий, паштет)</t>
        </is>
      </c>
      <c r="E19" s="46" t="inlineStr">
        <is>
          <t>вологий</t>
        </is>
      </c>
      <c r="F19" s="46" t="inlineStr">
        <is>
          <t>кіт</t>
        </is>
      </c>
      <c r="G19" s="46" t="inlineStr">
        <is>
          <t>здоровий дорослий</t>
        </is>
      </c>
      <c r="H19" s="46" t="n"/>
      <c r="I19" s="46" t="inlineStr">
        <is>
          <t>https://www.royalcanin.com/ua/cats/products/retail-products/instinctive-loaf-wet</t>
        </is>
      </c>
      <c r="J19" s="46" t="n">
        <v>12</v>
      </c>
      <c r="K19" s="46" t="n">
        <v>3.3</v>
      </c>
      <c r="L19" s="46" t="n">
        <v>1.3</v>
      </c>
      <c r="M19" s="46" t="n">
        <v>2</v>
      </c>
      <c r="N19" s="46" t="n"/>
      <c r="O19">
        <f>IF(J19="","",ROUND(J19/(1-N19/100),1))</f>
        <v/>
      </c>
      <c r="P19">
        <f>IF(K19="","",ROUND(K19/(1-N19/100),1))</f>
        <v/>
      </c>
      <c r="Q19">
        <f>IF(L19="","",ROUND(L19/(1-N19/100),1))</f>
        <v/>
      </c>
      <c r="R19">
        <f>IF(M19="","",ROUND(M19/(1-N19/100),1))</f>
        <v/>
      </c>
      <c r="S19" s="46" t="inlineStr">
        <is>
          <t>М'ясо та м'ясні субпродукти, злакові, мінеральні речовини</t>
        </is>
      </c>
      <c r="T19" s="46" t="inlineStr">
        <is>
          <t>м'ясо та м'ясні субпродукти</t>
        </is>
      </c>
      <c r="U19" s="46" t="inlineStr">
        <is>
          <t>злакові</t>
        </is>
      </c>
      <c r="V19" s="46" t="n"/>
      <c r="W19" s="46" t="n"/>
      <c r="X19" s="46" t="n"/>
      <c r="Y19" s="46" t="n"/>
      <c r="Z19" s="46" t="n"/>
      <c r="AA19" s="46" t="n"/>
      <c r="AB19" s="46" t="n"/>
      <c r="AC19" s="46" t="n"/>
      <c r="AD19" s="46" t="n"/>
      <c r="AE19" s="46" t="n"/>
      <c r="AF19" s="46" t="n"/>
      <c r="AG19" s="46" t="n"/>
      <c r="AH19" s="46" t="n"/>
      <c r="AI19" s="46" t="n"/>
      <c r="AJ19" s="46" t="n"/>
      <c r="AK19">
        <f>IF(AF19="","",IF(AH19="",IFERROR(VLOOKUP(AG19,Довідник_мінералів!$A:$B,2,0),"-"),ROUND(IFERROR(VLOOKUP(AG19,Довідник_мінералів!$A:$B,2,0),0)*AH19/100+IFERROR(VLOOKUP(AI19,Довідник_мінералів!$A:$B,2,0),0)*AJ19/100,0)))</f>
        <v/>
      </c>
      <c r="AL19" s="46" t="n"/>
      <c r="AM19" s="46" t="n"/>
      <c r="AN19" s="46" t="n"/>
      <c r="AO19" s="46" t="n"/>
      <c r="AP19" s="46" t="n"/>
      <c r="AQ19">
        <f>IF(AL19="","",IF(AN19="",IFERROR(VLOOKUP(AM19,Довідник_мінералів!$A:$B,2,0),"-"),ROUND(IFERROR(VLOOKUP(AM19,Довідник_мінералів!$A:$B,2,0),0)*AN19/100+IFERROR(VLOOKUP(AO19,Довідник_мінералів!$A:$B,2,0),0)*AP19/100,0)))</f>
        <v/>
      </c>
      <c r="AR19" s="46" t="n"/>
      <c r="AS19" s="46" t="n"/>
      <c r="AT19" s="46" t="n"/>
      <c r="AU19">
        <f>IF(AR19="","",IFERROR(VLOOKUP(AS19,Довідник_мінералів!$A:$B,2,0),"-"))</f>
        <v/>
      </c>
      <c r="AV19" s="46" t="n"/>
      <c r="AW19" s="46" t="n"/>
      <c r="AX19" s="46" t="n"/>
      <c r="AY19">
        <f>IF(AV19="","",IFERROR(VLOOKUP(AW19,Довідник_мінералів!$A:$B,2,0),"-"))</f>
        <v/>
      </c>
      <c r="AZ19" s="46" t="n"/>
      <c r="BA19" s="46" t="n"/>
      <c r="BB19">
        <f>IF(SE19="","",IFERROR(VLOOKUP(BA19,Довідник_мінералів!$A:$B,2,0),"-"))</f>
        <v/>
      </c>
      <c r="BC19" s="46" t="n"/>
      <c r="BD19" s="46" t="inlineStr">
        <is>
          <t>Паштет; вологість не підтверджена — уточнити</t>
        </is>
      </c>
    </row>
    <row r="20" ht="35" customHeight="1">
      <c r="A20" s="48" t="inlineStr">
        <is>
          <t>rc_hair_skin_wet_cat</t>
        </is>
      </c>
      <c r="B20" s="48" t="inlineStr">
        <is>
          <t>Royal Canin</t>
        </is>
      </c>
      <c r="C20" s="48" t="inlineStr">
        <is>
          <t>Hair &amp; Skin</t>
        </is>
      </c>
      <c r="D20" s="48" t="inlineStr">
        <is>
          <t>Hair &amp; Skin Care (вологий, желе)</t>
        </is>
      </c>
      <c r="E20" s="48" t="inlineStr">
        <is>
          <t>вологий</t>
        </is>
      </c>
      <c r="F20" s="48" t="inlineStr">
        <is>
          <t>кіт</t>
        </is>
      </c>
      <c r="G20" s="48" t="inlineStr">
        <is>
          <t>шкіра та шерсть</t>
        </is>
      </c>
      <c r="H20" s="48" t="n"/>
      <c r="I20" s="48" t="inlineStr">
        <is>
          <t>https://www.royalcanin.com/ua/cats/products/retail-products/hair-skin-care-wet</t>
        </is>
      </c>
      <c r="J20" s="48" t="n">
        <v>10.5</v>
      </c>
      <c r="K20" s="48" t="n">
        <v>4</v>
      </c>
      <c r="L20" s="48" t="n">
        <v>1</v>
      </c>
      <c r="M20" s="48" t="n">
        <v>1.5</v>
      </c>
      <c r="N20" s="48" t="n">
        <v>81</v>
      </c>
      <c r="O20">
        <f>IF(J20="","",ROUND(J20/(1-N20/100),1))</f>
        <v/>
      </c>
      <c r="P20">
        <f>IF(K20="","",ROUND(K20/(1-N20/100),1))</f>
        <v/>
      </c>
      <c r="Q20">
        <f>IF(L20="","",ROUND(L20/(1-N20/100),1))</f>
        <v/>
      </c>
      <c r="R20">
        <f>IF(M20="","",ROUND(M20/(1-N20/100),1))</f>
        <v/>
      </c>
      <c r="S20" s="48" t="inlineStr">
        <is>
          <t>М'ясо та м'ясні субпродукти, риба та рибні субпродукти, злакові, екстракти рослинних протеїнів, олії та жири, субпродукти рослинного походження, мінеральні речовини, вуглеводи</t>
        </is>
      </c>
      <c r="T20" s="48" t="inlineStr">
        <is>
          <t>м'ясо та м'ясні субпродукти</t>
        </is>
      </c>
      <c r="U20" s="48" t="inlineStr">
        <is>
          <t>риба та рибні субпродукти</t>
        </is>
      </c>
      <c r="V20" s="48" t="inlineStr">
        <is>
          <t>екстракти рослинних протеїнів</t>
        </is>
      </c>
      <c r="W20" s="48" t="n"/>
      <c r="X20" s="48" t="n">
        <v>100</v>
      </c>
      <c r="Y20" s="48" t="n"/>
      <c r="Z20" s="48" t="n"/>
      <c r="AA20" s="48" t="n"/>
      <c r="AB20" s="48" t="n"/>
      <c r="AC20" s="48" t="n"/>
      <c r="AD20" s="48" t="n"/>
      <c r="AE20" s="48" t="n"/>
      <c r="AF20" s="48" t="n">
        <v>21</v>
      </c>
      <c r="AG20" s="48" t="inlineStr">
        <is>
          <t>оксид цинку / сульфат цинку</t>
        </is>
      </c>
      <c r="AH20" s="48" t="n"/>
      <c r="AI20" s="48" t="n"/>
      <c r="AJ20" s="48" t="n"/>
      <c r="AK20">
        <f>IF(AF20="","",IF(AH20="",IFERROR(VLOOKUP(AG20,Довідник_мінералів!$A:$B,2,0),"-"),ROUND(IFERROR(VLOOKUP(AG20,Довідник_мінералів!$A:$B,2,0),0)*AH20/100+IFERROR(VLOOKUP(AI20,Довідник_мінералів!$A:$B,2,0),0)*AJ20/100,0)))</f>
        <v/>
      </c>
      <c r="AL20" s="48" t="n">
        <v>7</v>
      </c>
      <c r="AM20" s="48" t="inlineStr">
        <is>
          <t>сульфат заліза(II)</t>
        </is>
      </c>
      <c r="AN20" s="48" t="n"/>
      <c r="AO20" s="48" t="n"/>
      <c r="AP20" s="48" t="n"/>
      <c r="AQ20">
        <f>IF(AL20="","",IF(AN20="",IFERROR(VLOOKUP(AM20,Довідник_мінералів!$A:$B,2,0),"-"),ROUND(IFERROR(VLOOKUP(AM20,Довідник_мінералів!$A:$B,2,0),0)*AN20/100+IFERROR(VLOOKUP(AO20,Довідник_мінералів!$A:$B,2,0),0)*AP20/100,0)))</f>
        <v/>
      </c>
      <c r="AR20" s="48" t="n">
        <v>1.8</v>
      </c>
      <c r="AS20" s="48" t="inlineStr">
        <is>
          <t>сульфат міді</t>
        </is>
      </c>
      <c r="AT20" s="48" t="n"/>
      <c r="AU20">
        <f>IF(AR20="","",IFERROR(VLOOKUP(AS20,Довідник_мінералів!$A:$B,2,0),"-"))</f>
        <v/>
      </c>
      <c r="AV20" s="48" t="n">
        <v>2.1</v>
      </c>
      <c r="AW20" s="48" t="inlineStr">
        <is>
          <t>оксид марганцю</t>
        </is>
      </c>
      <c r="AX20" s="48" t="n"/>
      <c r="AY20">
        <f>IF(AV20="","",IFERROR(VLOOKUP(AW20,Довідник_мінералів!$A:$B,2,0),"-"))</f>
        <v/>
      </c>
      <c r="AZ20" s="48" t="n"/>
      <c r="BA20" s="48" t="n"/>
      <c r="BB20">
        <f>IF(SE20="","",IFERROR(VLOOKUP(BA20,Довідник_мінералів!$A:$B,2,0),"-"))</f>
        <v/>
      </c>
      <c r="BC20" s="48" t="n">
        <v>0.23</v>
      </c>
      <c r="BD20" s="48" t="inlineStr">
        <is>
          <t>Омега-3: 0.16%; Омега-6: 0.94%; також є версія Intense Beauty</t>
        </is>
      </c>
    </row>
    <row r="21" ht="35" customHeight="1">
      <c r="A21" s="46" t="inlineStr">
        <is>
          <t>rc_digest_sensitive_wet_cat</t>
        </is>
      </c>
      <c r="B21" s="46" t="inlineStr">
        <is>
          <t>Royal Canin</t>
        </is>
      </c>
      <c r="C21" s="46" t="inlineStr">
        <is>
          <t>Digest Sensitive</t>
        </is>
      </c>
      <c r="D21" s="46" t="inlineStr">
        <is>
          <t>Digest Sensitive (вологий, соус)</t>
        </is>
      </c>
      <c r="E21" s="46" t="inlineStr">
        <is>
          <t>вологий</t>
        </is>
      </c>
      <c r="F21" s="46" t="inlineStr">
        <is>
          <t>кіт</t>
        </is>
      </c>
      <c r="G21" s="46" t="inlineStr">
        <is>
          <t>чутливе травлення</t>
        </is>
      </c>
      <c r="H21" s="46" t="n"/>
      <c r="I21" s="46" t="inlineStr">
        <is>
          <t>https://www.royalcanin.com/ua/cats/products/retail-products/digest-sensitive-wet</t>
        </is>
      </c>
      <c r="J21" s="46" t="n">
        <v>9.5</v>
      </c>
      <c r="K21" s="46" t="n">
        <v>4</v>
      </c>
      <c r="L21" s="46" t="n">
        <v>0.6</v>
      </c>
      <c r="M21" s="46" t="n">
        <v>1.7</v>
      </c>
      <c r="N21" s="46" t="n">
        <v>80.5</v>
      </c>
      <c r="O21">
        <f>IF(J21="","",ROUND(J21/(1-N21/100),1))</f>
        <v/>
      </c>
      <c r="P21">
        <f>IF(K21="","",ROUND(K21/(1-N21/100),1))</f>
        <v/>
      </c>
      <c r="Q21">
        <f>IF(L21="","",ROUND(L21/(1-N21/100),1))</f>
        <v/>
      </c>
      <c r="R21">
        <f>IF(M21="","",ROUND(M21/(1-N21/100),1))</f>
        <v/>
      </c>
      <c r="S21" s="46" t="inlineStr">
        <is>
          <t>М'ясо та м'ясні субпродукти, злакові, субпродукти рослинного походження, мінеральні речовини, риба та рибні субпродукти</t>
        </is>
      </c>
      <c r="T21" s="46" t="inlineStr">
        <is>
          <t>м'ясо та м'ясні субпродукти</t>
        </is>
      </c>
      <c r="U21" s="46" t="inlineStr">
        <is>
          <t>злакові</t>
        </is>
      </c>
      <c r="V21" s="46" t="inlineStr">
        <is>
          <t>субпродукти рослинного походження</t>
        </is>
      </c>
      <c r="W21" s="46" t="n"/>
      <c r="X21" s="46" t="n">
        <v>200</v>
      </c>
      <c r="Y21" s="46" t="n"/>
      <c r="Z21" s="46" t="n"/>
      <c r="AA21" s="46" t="n"/>
      <c r="AB21" s="46" t="n"/>
      <c r="AC21" s="46" t="n"/>
      <c r="AD21" s="46" t="n"/>
      <c r="AE21" s="46" t="n"/>
      <c r="AF21" s="46" t="n">
        <v>11</v>
      </c>
      <c r="AG21" s="46" t="inlineStr">
        <is>
          <t>оксид цинку / сульфат цинку</t>
        </is>
      </c>
      <c r="AH21" s="46" t="n"/>
      <c r="AI21" s="46" t="n"/>
      <c r="AJ21" s="46" t="n"/>
      <c r="AK21">
        <f>IF(AF21="","",IF(AH21="",IFERROR(VLOOKUP(AG21,Довідник_мінералів!$A:$B,2,0),"-"),ROUND(IFERROR(VLOOKUP(AG21,Довідник_мінералів!$A:$B,2,0),0)*AH21/100+IFERROR(VLOOKUP(AI21,Довідник_мінералів!$A:$B,2,0),0)*AJ21/100,0)))</f>
        <v/>
      </c>
      <c r="AL21" s="46" t="n">
        <v>3.6</v>
      </c>
      <c r="AM21" s="46" t="inlineStr">
        <is>
          <t>сульфат заліза(II)</t>
        </is>
      </c>
      <c r="AN21" s="46" t="n"/>
      <c r="AO21" s="46" t="n"/>
      <c r="AP21" s="46" t="n"/>
      <c r="AQ21">
        <f>IF(AL21="","",IF(AN21="",IFERROR(VLOOKUP(AM21,Довідник_мінералів!$A:$B,2,0),"-"),ROUND(IFERROR(VLOOKUP(AM21,Довідник_мінералів!$A:$B,2,0),0)*AN21/100+IFERROR(VLOOKUP(AO21,Довідник_мінералів!$A:$B,2,0),0)*AP21/100,0)))</f>
        <v/>
      </c>
      <c r="AR21" s="46" t="n">
        <v>2.8</v>
      </c>
      <c r="AS21" s="46" t="inlineStr">
        <is>
          <t>сульфат міді</t>
        </is>
      </c>
      <c r="AT21" s="46" t="n"/>
      <c r="AU21">
        <f>IF(AR21="","",IFERROR(VLOOKUP(AS21,Довідник_мінералів!$A:$B,2,0),"-"))</f>
        <v/>
      </c>
      <c r="AV21" s="46" t="n">
        <v>1</v>
      </c>
      <c r="AW21" s="46" t="inlineStr">
        <is>
          <t>оксид марганцю</t>
        </is>
      </c>
      <c r="AX21" s="46" t="n"/>
      <c r="AY21">
        <f>IF(AV21="","",IFERROR(VLOOKUP(AW21,Довідник_мінералів!$A:$B,2,0),"-"))</f>
        <v/>
      </c>
      <c r="AZ21" s="46" t="n"/>
      <c r="BA21" s="46" t="n"/>
      <c r="BB21">
        <f>IF(SE21="","",IFERROR(VLOOKUP(BA21,Довідник_мінералів!$A:$B,2,0),"-"))</f>
        <v/>
      </c>
      <c r="BC21" s="46" t="n">
        <v>0.35</v>
      </c>
      <c r="BD21" s="46" t="inlineStr">
        <is>
          <t>Шматочки у соусі; для котів з чутливим ШКТ</t>
        </is>
      </c>
    </row>
    <row r="22" ht="40" customHeight="1">
      <c r="A22" s="49" t="inlineStr">
        <is>
          <t>rc_gi_dry_cat</t>
        </is>
      </c>
      <c r="B22" s="49" t="inlineStr">
        <is>
          <t>Royal Canin</t>
        </is>
      </c>
      <c r="C22" s="49" t="inlineStr">
        <is>
          <t>Gastrointestinal</t>
        </is>
      </c>
      <c r="D22" s="49" t="inlineStr">
        <is>
          <t>Gastrointestinal (сухий)</t>
        </is>
      </c>
      <c r="E22" s="49" t="inlineStr">
        <is>
          <t>сухий</t>
        </is>
      </c>
      <c r="F22" s="49" t="inlineStr">
        <is>
          <t>кіт</t>
        </is>
      </c>
      <c r="G22" s="49" t="inlineStr">
        <is>
          <t>ШКТ / панкреатит ремісія</t>
        </is>
      </c>
      <c r="H22" s="49" t="n"/>
      <c r="I22" s="49" t="inlineStr">
        <is>
          <t>https://www.royalcanin.com/ua/cats/products/vet-products/gastro-intestinal-dry</t>
        </is>
      </c>
      <c r="J22" s="49" t="n">
        <v>32</v>
      </c>
      <c r="K22" s="49" t="n">
        <v>22</v>
      </c>
      <c r="L22" s="49" t="n">
        <v>4.9</v>
      </c>
      <c r="M22" s="49" t="n">
        <v>8.5</v>
      </c>
      <c r="N22" s="49" t="n"/>
      <c r="O22">
        <f>IF(J22="","",ROUND(J22/(1-N22/100),1))</f>
        <v/>
      </c>
      <c r="P22">
        <f>IF(K22="","",ROUND(K22/(1-N22/100),1))</f>
        <v/>
      </c>
      <c r="Q22">
        <f>IF(L22="","",ROUND(L22/(1-N22/100),1))</f>
        <v/>
      </c>
      <c r="R22">
        <f>IF(M22="","",ROUND(M22/(1-N22/100),1))</f>
        <v/>
      </c>
      <c r="S22" s="49" t="inlineStr">
        <is>
          <t>Рис, дегідратовані протеїни м'яса птиці (L.I.P.), кукурудзяне борошно, тваринні жири, пшеничний глютен (L.I.P.), гідролізат білків тваринного походження, рослинна клітковина, мінеральні речовини, риб'ячий жир, соєва олія, фруктоолігосахариди, оболонка та насіння подорожника, гідролізат дріжджів (МОС та бета-глюкани)</t>
        </is>
      </c>
      <c r="T22" s="49" t="inlineStr">
        <is>
          <t>рис</t>
        </is>
      </c>
      <c r="U22" s="49" t="inlineStr">
        <is>
          <t>дегідратовані протеїни м'яса птиці (L.I.P.)</t>
        </is>
      </c>
      <c r="V22" s="49" t="inlineStr">
        <is>
          <t>пшеничний глютен (L.I.P.)</t>
        </is>
      </c>
      <c r="W22" s="49" t="n">
        <v>21500</v>
      </c>
      <c r="X22" s="49" t="n">
        <v>800</v>
      </c>
      <c r="Y22" s="49" t="n"/>
      <c r="Z22" s="49" t="n"/>
      <c r="AA22" s="49" t="n"/>
      <c r="AB22" s="49" t="n"/>
      <c r="AC22" s="49" t="n"/>
      <c r="AD22" s="49" t="n"/>
      <c r="AE22" s="49" t="n"/>
      <c r="AF22" s="49" t="n">
        <v>132</v>
      </c>
      <c r="AG22" s="49" t="inlineStr">
        <is>
          <t>оксид цинку / сульфат цинку</t>
        </is>
      </c>
      <c r="AH22" s="49" t="n"/>
      <c r="AI22" s="49" t="n"/>
      <c r="AJ22" s="49" t="n"/>
      <c r="AK22">
        <f>IF(AF22="","",IF(AH22="",IFERROR(VLOOKUP(AG22,Довідник_мінералів!$A:$B,2,0),"-"),ROUND(IFERROR(VLOOKUP(AG22,Довідник_мінералів!$A:$B,2,0),0)*AH22/100+IFERROR(VLOOKUP(AI22,Довідник_мінералів!$A:$B,2,0),0)*AJ22/100,0)))</f>
        <v/>
      </c>
      <c r="AL22" s="49" t="n">
        <v>41</v>
      </c>
      <c r="AM22" s="49" t="inlineStr">
        <is>
          <t>сульфат заліза(II)</t>
        </is>
      </c>
      <c r="AN22" s="49" t="n"/>
      <c r="AQ22">
        <f>IF(AL22="","",IF(AN22="",IFERROR(VLOOKUP(AM22,Довідник_мінералів!$A:$B,2,0),"-"),ROUND(IFERROR(VLOOKUP(AM22,Довідник_мінералів!$A:$B,2,0),0)*AN22/100+IFERROR(VLOOKUP(AO22,Довідник_мінералів!$A:$B,2,0),0)*AP22/100,0)))</f>
        <v/>
      </c>
      <c r="AR22" s="49" t="n">
        <v>13</v>
      </c>
      <c r="AS22" s="49" t="inlineStr">
        <is>
          <t>сульфат міді</t>
        </is>
      </c>
      <c r="AU22">
        <f>IF(AR22="","",IFERROR(VLOOKUP(AS22,Довідник_мінералів!$A:$B,2,0),"-"))</f>
        <v/>
      </c>
      <c r="AV22" s="49" t="n">
        <v>54</v>
      </c>
      <c r="AW22" s="49" t="inlineStr">
        <is>
          <t>оксид марганцю</t>
        </is>
      </c>
      <c r="AY22">
        <f>IF(AV22="","",IFERROR(VLOOKUP(AW22,Довідник_мінералів!$A:$B,2,0),"-"))</f>
        <v/>
      </c>
      <c r="AZ22" s="49" t="n">
        <v>0.08</v>
      </c>
      <c r="BA22" s="49" t="inlineStr">
        <is>
          <t>селеніт натрію</t>
        </is>
      </c>
      <c r="BB22">
        <f>IF(SE22="","",IFERROR(VLOOKUP(BA22,Довідник_мінералів!$A:$B,2,0),"-"))</f>
        <v/>
      </c>
      <c r="BC22" s="49" t="n">
        <v>4.1</v>
      </c>
      <c r="BD22" s="49" t="inlineStr">
        <is>
          <t>Омега-3: 0.93%; EPA/DHA: 0.33%; Na 0.6%; K 1%; S/O index</t>
        </is>
      </c>
    </row>
    <row r="23" ht="40" customHeight="1">
      <c r="A23" s="46" t="inlineStr">
        <is>
          <t>rc_gi_mc_dry_cat</t>
        </is>
      </c>
      <c r="B23" s="46" t="inlineStr">
        <is>
          <t>Royal Canin</t>
        </is>
      </c>
      <c r="C23" s="46" t="inlineStr">
        <is>
          <t>Gastrointestinal</t>
        </is>
      </c>
      <c r="D23" s="46" t="inlineStr">
        <is>
          <t>Gastrointestinal Moderate Calorie (сухий)</t>
        </is>
      </c>
      <c r="E23" s="46" t="inlineStr">
        <is>
          <t>сухий</t>
        </is>
      </c>
      <c r="F23" s="46" t="inlineStr">
        <is>
          <t>кіт</t>
        </is>
      </c>
      <c r="G23" s="46" t="inlineStr">
        <is>
          <t>ШКТ зайва вага</t>
        </is>
      </c>
      <c r="H23" s="46" t="n"/>
      <c r="I23" s="46" t="inlineStr">
        <is>
          <t>https://www.royalcanin.com/ua/cats/products/vet-products/gastro-intestinal-moderate-calorie-dry</t>
        </is>
      </c>
      <c r="J23" s="46" t="n">
        <v>34</v>
      </c>
      <c r="K23" s="46" t="n">
        <v>11</v>
      </c>
      <c r="L23" s="46" t="n">
        <v>7</v>
      </c>
      <c r="M23" s="46" t="n">
        <v>8.800000000000001</v>
      </c>
      <c r="N23" s="46" t="n"/>
      <c r="O23">
        <f>IF(J23="","",ROUND(J23/(1-N23/100),1))</f>
        <v/>
      </c>
      <c r="P23">
        <f>IF(K23="","",ROUND(K23/(1-N23/100),1))</f>
        <v/>
      </c>
      <c r="Q23">
        <f>IF(L23="","",ROUND(L23/(1-N23/100),1))</f>
        <v/>
      </c>
      <c r="R23">
        <f>IF(M23="","",ROUND(M23/(1-N23/100),1))</f>
        <v/>
      </c>
      <c r="S23" s="46" t="inlineStr">
        <is>
          <t>Рис, дегідратовані протеїни м'яса птиці (L.I.P.), пшеничний глютен (L.I.P.), кукурудзяне борошно, рослинна клітковина, кукурудзяний глютен, гідролізат білків тваринного походження, мінеральні речовини, тваринні жири, риб'ячий жир, соєва олія, фруктоолігосахариди</t>
        </is>
      </c>
      <c r="T23" s="46" t="inlineStr">
        <is>
          <t>рис</t>
        </is>
      </c>
      <c r="U23" s="46" t="inlineStr">
        <is>
          <t>дегідратовані протеїни м'яса птиці (L.I.P.)</t>
        </is>
      </c>
      <c r="V23" s="46" t="inlineStr">
        <is>
          <t>пшеничний глютен (L.I.P.)</t>
        </is>
      </c>
      <c r="W23" s="46" t="n">
        <v>21500</v>
      </c>
      <c r="X23" s="46" t="n">
        <v>800</v>
      </c>
      <c r="Y23" s="46" t="n"/>
      <c r="Z23" s="46" t="n"/>
      <c r="AA23" s="46" t="n"/>
      <c r="AB23" s="46" t="n"/>
      <c r="AC23" s="46" t="n"/>
      <c r="AD23" s="46" t="n"/>
      <c r="AE23" s="46" t="n"/>
      <c r="AF23" s="46" t="n">
        <v>134</v>
      </c>
      <c r="AG23" s="46" t="inlineStr">
        <is>
          <t>оксид цинку / сульфат цинку</t>
        </is>
      </c>
      <c r="AH23" s="46" t="n"/>
      <c r="AI23" s="46" t="n"/>
      <c r="AJ23" s="46" t="n"/>
      <c r="AK23">
        <f>IF(AF23="","",IF(AH23="",IFERROR(VLOOKUP(AG23,Довідник_мінералів!$A:$B,2,0),"-"),ROUND(IFERROR(VLOOKUP(AG23,Довідник_мінералів!$A:$B,2,0),0)*AH23/100+IFERROR(VLOOKUP(AI23,Довідник_мінералів!$A:$B,2,0),0)*AJ23/100,0)))</f>
        <v/>
      </c>
      <c r="AL23" s="46" t="n">
        <v>35</v>
      </c>
      <c r="AM23" s="46" t="inlineStr">
        <is>
          <t>сульфат заліза(II)</t>
        </is>
      </c>
      <c r="AN23" s="46" t="n"/>
      <c r="AQ23">
        <f>IF(AL23="","",IF(AN23="",IFERROR(VLOOKUP(AM23,Довідник_мінералів!$A:$B,2,0),"-"),ROUND(IFERROR(VLOOKUP(AM23,Довідник_мінералів!$A:$B,2,0),0)*AN23/100+IFERROR(VLOOKUP(AO23,Довідник_мінералів!$A:$B,2,0),0)*AP23/100,0)))</f>
        <v/>
      </c>
      <c r="AR23" s="46" t="n">
        <v>11</v>
      </c>
      <c r="AS23" s="46" t="inlineStr">
        <is>
          <t>сульфат міді</t>
        </is>
      </c>
      <c r="AU23">
        <f>IF(AR23="","",IFERROR(VLOOKUP(AS23,Довідник_мінералів!$A:$B,2,0),"-"))</f>
        <v/>
      </c>
      <c r="AV23" s="46" t="n">
        <v>46</v>
      </c>
      <c r="AW23" s="46" t="inlineStr">
        <is>
          <t>оксид марганцю</t>
        </is>
      </c>
      <c r="AY23">
        <f>IF(AV23="","",IFERROR(VLOOKUP(AW23,Довідник_мінералів!$A:$B,2,0),"-"))</f>
        <v/>
      </c>
      <c r="AZ23" s="46" t="n">
        <v>0.06</v>
      </c>
      <c r="BA23" s="46" t="inlineStr">
        <is>
          <t>селеніт натрію</t>
        </is>
      </c>
      <c r="BB23">
        <f>IF(SE23="","",IFERROR(VLOOKUP(BA23,Довідник_мінералів!$A:$B,2,0),"-"))</f>
        <v/>
      </c>
      <c r="BC23" s="46" t="n">
        <v>3.5</v>
      </c>
      <c r="BD23" s="46" t="inlineStr">
        <is>
          <t>Ca 1%; P 0.9%; Na 1.2%; Mg 0.06%; таурин 0.22%; EPA/DHA 0.32%; L-карнітин 200 мг/кг</t>
        </is>
      </c>
    </row>
    <row r="24" ht="40" customHeight="1">
      <c r="A24" s="49" t="inlineStr">
        <is>
          <t>rc_gi_mc_wet_cat</t>
        </is>
      </c>
      <c r="B24" s="49" t="inlineStr">
        <is>
          <t>Royal Canin</t>
        </is>
      </c>
      <c r="C24" s="49" t="inlineStr">
        <is>
          <t>Gastrointestinal</t>
        </is>
      </c>
      <c r="D24" s="49" t="inlineStr">
        <is>
          <t>Gastrointestinal Moderate Calorie (вологий)</t>
        </is>
      </c>
      <c r="E24" s="49" t="inlineStr">
        <is>
          <t>вологий</t>
        </is>
      </c>
      <c r="F24" s="49" t="inlineStr">
        <is>
          <t>кіт</t>
        </is>
      </c>
      <c r="G24" s="49" t="inlineStr">
        <is>
          <t>ШКТ зайва вага</t>
        </is>
      </c>
      <c r="H24" s="49" t="n"/>
      <c r="I24" s="49" t="inlineStr">
        <is>
          <t>https://www.royalcanin.com/ua/cats/products/vet-products/gastro-intestinal-moderate-calorie-wet</t>
        </is>
      </c>
      <c r="J24" s="49" t="n">
        <v>7</v>
      </c>
      <c r="K24" s="49" t="n">
        <v>2.9</v>
      </c>
      <c r="L24" s="49" t="n">
        <v>0.9</v>
      </c>
      <c r="M24" s="49" t="n">
        <v>1.6</v>
      </c>
      <c r="N24" s="49" t="n">
        <v>82</v>
      </c>
      <c r="O24">
        <f>IF(J24="","",ROUND(J24/(1-N24/100),1))</f>
        <v/>
      </c>
      <c r="P24">
        <f>IF(K24="","",ROUND(K24/(1-N24/100),1))</f>
        <v/>
      </c>
      <c r="Q24">
        <f>IF(L24="","",ROUND(L24/(1-N24/100),1))</f>
        <v/>
      </c>
      <c r="R24">
        <f>IF(M24="","",ROUND(M24/(1-N24/100),1))</f>
        <v/>
      </c>
      <c r="S24" s="49" t="inlineStr">
        <is>
          <t>М'ясо та м'ясні субпродукти, злакові, субпродукти рослинного походження, мінеральні речовини, олії та жири, вуглеводи, дріжджі. Субпродукти птиці та свинини, кукурудзяне борошно, суміш кукурудзяного крохмалю</t>
        </is>
      </c>
      <c r="T24" s="49" t="inlineStr">
        <is>
          <t>субпродукти птиці та свинини</t>
        </is>
      </c>
      <c r="U24" s="49" t="inlineStr">
        <is>
          <t>злакові</t>
        </is>
      </c>
      <c r="V24" s="49" t="n"/>
      <c r="W24" s="49" t="n"/>
      <c r="X24" s="49" t="n">
        <v>240</v>
      </c>
      <c r="Y24" s="49" t="n"/>
      <c r="Z24" s="49" t="n"/>
      <c r="AA24" s="49" t="n"/>
      <c r="AB24" s="49" t="n"/>
      <c r="AC24" s="49" t="n"/>
      <c r="AD24" s="49" t="n"/>
      <c r="AE24" s="49" t="n"/>
      <c r="AF24" s="49" t="n">
        <v>7</v>
      </c>
      <c r="AG24" s="49" t="inlineStr">
        <is>
          <t>оксид цинку / сульфат цинку</t>
        </is>
      </c>
      <c r="AH24" s="49" t="n"/>
      <c r="AI24" s="49" t="n"/>
      <c r="AJ24" s="49" t="n"/>
      <c r="AK24">
        <f>IF(AF24="","",IF(AH24="",IFERROR(VLOOKUP(AG24,Довідник_мінералів!$A:$B,2,0),"-"),ROUND(IFERROR(VLOOKUP(AG24,Довідник_мінералів!$A:$B,2,0),0)*AH24/100+IFERROR(VLOOKUP(AI24,Довідник_мінералів!$A:$B,2,0),0)*AJ24/100,0)))</f>
        <v/>
      </c>
      <c r="AL24" s="49" t="n">
        <v>2</v>
      </c>
      <c r="AM24" s="49" t="inlineStr">
        <is>
          <t>сульфат заліза(II)</t>
        </is>
      </c>
      <c r="AN24" s="49" t="n"/>
      <c r="AQ24">
        <f>IF(AL24="","",IF(AN24="",IFERROR(VLOOKUP(AM24,Довідник_мінералів!$A:$B,2,0),"-"),ROUND(IFERROR(VLOOKUP(AM24,Довідник_мінералів!$A:$B,2,0),0)*AN24/100+IFERROR(VLOOKUP(AO24,Довідник_мінералів!$A:$B,2,0),0)*AP24/100,0)))</f>
        <v/>
      </c>
      <c r="AR24" s="49" t="n">
        <v>2.4</v>
      </c>
      <c r="AS24" s="49" t="inlineStr">
        <is>
          <t>сульфат міді</t>
        </is>
      </c>
      <c r="AU24">
        <f>IF(AR24="","",IFERROR(VLOOKUP(AS24,Довідник_мінералів!$A:$B,2,0),"-"))</f>
        <v/>
      </c>
      <c r="AV24" s="49" t="n">
        <v>0.7</v>
      </c>
      <c r="AW24" s="49" t="inlineStr">
        <is>
          <t>оксид марганцю</t>
        </is>
      </c>
      <c r="AY24">
        <f>IF(AV24="","",IFERROR(VLOOKUP(AW24,Довідник_мінералів!$A:$B,2,0),"-"))</f>
        <v/>
      </c>
      <c r="AZ24" s="49" t="n"/>
      <c r="BA24" s="49" t="n"/>
      <c r="BB24">
        <f>IF(SE24="","",IFERROR(VLOOKUP(BA24,Довідник_мінералів!$A:$B,2,0),"-"))</f>
        <v/>
      </c>
      <c r="BC24" s="49" t="n">
        <v>0.3</v>
      </c>
      <c r="BD24" s="49" t="inlineStr">
        <is>
          <t>Na 0.11%; K 0.14%; Омега-3: 0.14%; Омега-6: 0.6%; S/O index</t>
        </is>
      </c>
    </row>
    <row r="25" ht="40" customHeight="1">
      <c r="A25" s="46" t="inlineStr">
        <is>
          <t>rc_urinary_so_dry_cat</t>
        </is>
      </c>
      <c r="B25" s="46" t="inlineStr">
        <is>
          <t>Royal Canin</t>
        </is>
      </c>
      <c r="C25" s="46" t="inlineStr">
        <is>
          <t>Urinary S/O</t>
        </is>
      </c>
      <c r="D25" s="46" t="inlineStr">
        <is>
          <t>Urinary S/O (сухий)</t>
        </is>
      </c>
      <c r="E25" s="46" t="inlineStr">
        <is>
          <t>сухий</t>
        </is>
      </c>
      <c r="F25" s="46" t="inlineStr">
        <is>
          <t>кіт</t>
        </is>
      </c>
      <c r="G25" s="46" t="inlineStr">
        <is>
          <t>МКХ струвіти + оксалати</t>
        </is>
      </c>
      <c r="H25" s="46" t="n"/>
      <c r="I25" s="46" t="inlineStr">
        <is>
          <t>https://www.royalcanin.com/ua/cats/products/vet-products/urinary-so-cat-dry</t>
        </is>
      </c>
      <c r="J25" s="46" t="n">
        <v>34.5</v>
      </c>
      <c r="K25" s="46" t="n">
        <v>15</v>
      </c>
      <c r="L25" s="46" t="n">
        <v>2.9</v>
      </c>
      <c r="M25" s="46" t="n">
        <v>8.9</v>
      </c>
      <c r="N25" s="46" t="n"/>
      <c r="O25">
        <f>IF(J25="","",ROUND(J25/(1-N25/100),1))</f>
        <v/>
      </c>
      <c r="P25">
        <f>IF(K25="","",ROUND(K25/(1-N25/100),1))</f>
        <v/>
      </c>
      <c r="Q25">
        <f>IF(L25="","",ROUND(L25/(1-N25/100),1))</f>
        <v/>
      </c>
      <c r="R25">
        <f>IF(M25="","",ROUND(M25/(1-N25/100),1))</f>
        <v/>
      </c>
      <c r="S25" s="46" t="inlineStr">
        <is>
          <t>Рис, дегідратовані протеїни м'яса птиці (L.I.P.), пшеничний глютен (L.I.P.), кукурудзяне борошно, тваринні жири, гідролізат білків тваринного походження, рослинна клітковина, мінеральні речовини, риб'ячий жир, соєва олія, фруктоолігосахариди</t>
        </is>
      </c>
      <c r="T25" s="46" t="inlineStr">
        <is>
          <t>рис</t>
        </is>
      </c>
      <c r="U25" s="46" t="inlineStr">
        <is>
          <t>дегідратовані протеїни м'яса птиці (L.I.P.)</t>
        </is>
      </c>
      <c r="V25" s="46" t="inlineStr">
        <is>
          <t>пшеничний глютен (L.I.P.)</t>
        </is>
      </c>
      <c r="W25" s="46" t="n">
        <v>21500</v>
      </c>
      <c r="X25" s="46" t="n">
        <v>800</v>
      </c>
      <c r="Y25" s="46" t="n"/>
      <c r="Z25" s="46" t="n"/>
      <c r="AA25" s="46" t="n"/>
      <c r="AB25" s="46" t="n"/>
      <c r="AC25" s="46" t="n"/>
      <c r="AD25" s="46" t="n"/>
      <c r="AE25" s="46" t="n"/>
      <c r="AF25" s="46" t="n">
        <v>136</v>
      </c>
      <c r="AG25" s="46" t="inlineStr">
        <is>
          <t>оксид цинку / сульфат цинку</t>
        </is>
      </c>
      <c r="AH25" s="46" t="n"/>
      <c r="AI25" s="46" t="n"/>
      <c r="AJ25" s="46" t="n"/>
      <c r="AK25">
        <f>IF(AF25="","",IF(AH25="",IFERROR(VLOOKUP(AG25,Довідник_мінералів!$A:$B,2,0),"-"),ROUND(IFERROR(VLOOKUP(AG25,Довідник_мінералів!$A:$B,2,0),0)*AH25/100+IFERROR(VLOOKUP(AI25,Довідник_мінералів!$A:$B,2,0),0)*AJ25/100,0)))</f>
        <v/>
      </c>
      <c r="AL25" s="46" t="n">
        <v>37</v>
      </c>
      <c r="AM25" s="46" t="inlineStr">
        <is>
          <t>сульфат заліза(II)</t>
        </is>
      </c>
      <c r="AN25" s="46" t="n"/>
      <c r="AQ25">
        <f>IF(AL25="","",IF(AN25="",IFERROR(VLOOKUP(AM25,Довідник_мінералів!$A:$B,2,0),"-"),ROUND(IFERROR(VLOOKUP(AM25,Довідник_мінералів!$A:$B,2,0),0)*AN25/100+IFERROR(VLOOKUP(AO25,Довідник_мінералів!$A:$B,2,0),0)*AP25/100,0)))</f>
        <v/>
      </c>
      <c r="AR25" s="46" t="n">
        <v>11</v>
      </c>
      <c r="AS25" s="46" t="inlineStr">
        <is>
          <t>сульфат міді</t>
        </is>
      </c>
      <c r="AU25">
        <f>IF(AR25="","",IFERROR(VLOOKUP(AS25,Довідник_мінералів!$A:$B,2,0),"-"))</f>
        <v/>
      </c>
      <c r="AV25" s="46" t="n">
        <v>48</v>
      </c>
      <c r="AW25" s="46" t="inlineStr">
        <is>
          <t>оксид марганцю</t>
        </is>
      </c>
      <c r="AY25">
        <f>IF(AV25="","",IFERROR(VLOOKUP(AW25,Довідник_мінералів!$A:$B,2,0),"-"))</f>
        <v/>
      </c>
      <c r="AZ25" s="46" t="n">
        <v>0.06</v>
      </c>
      <c r="BA25" s="46" t="inlineStr">
        <is>
          <t>селеніт натрію</t>
        </is>
      </c>
      <c r="BB25">
        <f>IF(SE25="","",IFERROR(VLOOKUP(BA25,Довідник_мінералів!$A:$B,2,0),"-"))</f>
        <v/>
      </c>
      <c r="BC25" s="46" t="n">
        <v>3.7</v>
      </c>
      <c r="BD25" s="46" t="inlineStr">
        <is>
          <t>Ca 0.9%; P 0.9%; Na 1.3%; Mg 0.05%; таурин 0.23%; EPA/DHA 0.37%; підкислювачі сечі: Ca сульфат 1.25%, DL-метіонін 0.39%</t>
        </is>
      </c>
    </row>
    <row r="26" ht="40" customHeight="1">
      <c r="A26" s="49" t="inlineStr">
        <is>
          <t>rc_urinary_so_mc_dry_cat</t>
        </is>
      </c>
      <c r="B26" s="49" t="inlineStr">
        <is>
          <t>Royal Canin</t>
        </is>
      </c>
      <c r="C26" s="49" t="inlineStr">
        <is>
          <t>Urinary S/O</t>
        </is>
      </c>
      <c r="D26" s="49" t="inlineStr">
        <is>
          <t>Urinary S/O Moderate Calorie (сухий)</t>
        </is>
      </c>
      <c r="E26" s="49" t="inlineStr">
        <is>
          <t>сухий</t>
        </is>
      </c>
      <c r="F26" s="49" t="inlineStr">
        <is>
          <t>кіт</t>
        </is>
      </c>
      <c r="G26" s="49" t="inlineStr">
        <is>
          <t>МКХ + зайва вага</t>
        </is>
      </c>
      <c r="H26" s="49" t="n"/>
      <c r="I26" s="49" t="inlineStr">
        <is>
          <t>https://www.royalcanin.com/ua/cats/products/vet-products/urinary-so-moderate-calorie-dry</t>
        </is>
      </c>
      <c r="J26" s="49" t="n">
        <v>34</v>
      </c>
      <c r="K26" s="49" t="n">
        <v>11</v>
      </c>
      <c r="L26" s="49" t="n">
        <v>7</v>
      </c>
      <c r="M26" s="49" t="n">
        <v>8.800000000000001</v>
      </c>
      <c r="N26" s="49" t="n"/>
      <c r="O26">
        <f>IF(J26="","",ROUND(J26/(1-N26/100),1))</f>
        <v/>
      </c>
      <c r="P26">
        <f>IF(K26="","",ROUND(K26/(1-N26/100),1))</f>
        <v/>
      </c>
      <c r="Q26">
        <f>IF(L26="","",ROUND(L26/(1-N26/100),1))</f>
        <v/>
      </c>
      <c r="R26">
        <f>IF(M26="","",ROUND(M26/(1-N26/100),1))</f>
        <v/>
      </c>
      <c r="S26" s="49" t="inlineStr">
        <is>
          <t>Рис, дегідратовані протеїни м'яса птиці, пшеничний глютен (L.I.P.), кукурудзяне борошно, рослинна клітковина, кукурудзяний глютен, гідролізат білків тваринного походження, мінеральні речовини, тваринні жири, риб'ячий жир, соєва олія, фруктоолігосахариди</t>
        </is>
      </c>
      <c r="T26" s="49" t="inlineStr">
        <is>
          <t>рис</t>
        </is>
      </c>
      <c r="U26" s="49" t="inlineStr">
        <is>
          <t>дегідратовані протеїни м'яса птиці</t>
        </is>
      </c>
      <c r="V26" s="49" t="inlineStr">
        <is>
          <t>пшеничний глютен (L.I.P.)</t>
        </is>
      </c>
      <c r="W26" s="49" t="n">
        <v>21500</v>
      </c>
      <c r="X26" s="49" t="n">
        <v>800</v>
      </c>
      <c r="Y26" s="49" t="n"/>
      <c r="Z26" s="49" t="n"/>
      <c r="AA26" s="49" t="n"/>
      <c r="AB26" s="49" t="n"/>
      <c r="AC26" s="49" t="n"/>
      <c r="AD26" s="49" t="n"/>
      <c r="AE26" s="49" t="n"/>
      <c r="AF26" s="49" t="n">
        <v>134</v>
      </c>
      <c r="AG26" s="49" t="inlineStr">
        <is>
          <t>оксид цинку / сульфат цинку</t>
        </is>
      </c>
      <c r="AH26" s="49" t="n"/>
      <c r="AI26" s="49" t="n"/>
      <c r="AJ26" s="49" t="n"/>
      <c r="AK26">
        <f>IF(AF26="","",IF(AH26="",IFERROR(VLOOKUP(AG26,Довідник_мінералів!$A:$B,2,0),"-"),ROUND(IFERROR(VLOOKUP(AG26,Довідник_мінералів!$A:$B,2,0),0)*AH26/100+IFERROR(VLOOKUP(AI26,Довідник_мінералів!$A:$B,2,0),0)*AJ26/100,0)))</f>
        <v/>
      </c>
      <c r="AL26" s="49" t="n">
        <v>35</v>
      </c>
      <c r="AM26" s="49" t="inlineStr">
        <is>
          <t>сульфат заліза(II)</t>
        </is>
      </c>
      <c r="AN26" s="49" t="n"/>
      <c r="AQ26">
        <f>IF(AL26="","",IF(AN26="",IFERROR(VLOOKUP(AM26,Довідник_мінералів!$A:$B,2,0),"-"),ROUND(IFERROR(VLOOKUP(AM26,Довідник_мінералів!$A:$B,2,0),0)*AN26/100+IFERROR(VLOOKUP(AO26,Довідник_мінералів!$A:$B,2,0),0)*AP26/100,0)))</f>
        <v/>
      </c>
      <c r="AR26" s="49" t="n">
        <v>11</v>
      </c>
      <c r="AS26" s="49" t="inlineStr">
        <is>
          <t>сульфат міді</t>
        </is>
      </c>
      <c r="AU26">
        <f>IF(AR26="","",IFERROR(VLOOKUP(AS26,Довідник_мінералів!$A:$B,2,0),"-"))</f>
        <v/>
      </c>
      <c r="AV26" s="49" t="n">
        <v>46</v>
      </c>
      <c r="AW26" s="49" t="inlineStr">
        <is>
          <t>оксид марганцю</t>
        </is>
      </c>
      <c r="AY26">
        <f>IF(AV26="","",IFERROR(VLOOKUP(AW26,Довідник_мінералів!$A:$B,2,0),"-"))</f>
        <v/>
      </c>
      <c r="AZ26" s="49" t="n">
        <v>0.06</v>
      </c>
      <c r="BA26" s="49" t="inlineStr">
        <is>
          <t>селеніт натрію</t>
        </is>
      </c>
      <c r="BB26">
        <f>IF(SE26="","",IFERROR(VLOOKUP(BA26,Довідник_мінералів!$A:$B,2,0),"-"))</f>
        <v/>
      </c>
      <c r="BC26" s="49" t="n">
        <v>3.5</v>
      </c>
      <c r="BD26" s="49" t="inlineStr">
        <is>
          <t>Ca 1%; P 0.9%; Na 1.2%; Mg 0.06%; таурин 0.22%; EPA/DHA 0.32%; L-карнітин 200 мг/кг</t>
        </is>
      </c>
    </row>
    <row r="27" ht="40" customHeight="1">
      <c r="A27" s="46" t="inlineStr">
        <is>
          <t>rc_urinary_so_wet_cat</t>
        </is>
      </c>
      <c r="B27" s="46" t="inlineStr">
        <is>
          <t>Royal Canin</t>
        </is>
      </c>
      <c r="C27" s="46" t="inlineStr">
        <is>
          <t>Urinary S/O</t>
        </is>
      </c>
      <c r="D27" s="46" t="inlineStr">
        <is>
          <t>Urinary S/O (вологий)</t>
        </is>
      </c>
      <c r="E27" s="46" t="inlineStr">
        <is>
          <t>вологий</t>
        </is>
      </c>
      <c r="F27" s="46" t="inlineStr">
        <is>
          <t>кіт</t>
        </is>
      </c>
      <c r="G27" s="46" t="inlineStr">
        <is>
          <t>МКХ струвіти + оксалати</t>
        </is>
      </c>
      <c r="H27" s="46" t="n"/>
      <c r="I27" s="46" t="inlineStr">
        <is>
          <t>https://www.royalcanin.com/ua/cats/products/vet-products/urinary-so-cat-wet</t>
        </is>
      </c>
      <c r="J27" s="46" t="n">
        <v>10</v>
      </c>
      <c r="K27" s="46" t="n">
        <v>3.5</v>
      </c>
      <c r="L27" s="46" t="n">
        <v>1</v>
      </c>
      <c r="M27" s="46" t="n">
        <v>1.8</v>
      </c>
      <c r="N27" s="46" t="n">
        <v>80</v>
      </c>
      <c r="O27">
        <f>IF(J27="","",ROUND(J27/(1-N27/100),1))</f>
        <v/>
      </c>
      <c r="P27">
        <f>IF(K27="","",ROUND(K27/(1-N27/100),1))</f>
        <v/>
      </c>
      <c r="Q27">
        <f>IF(L27="","",ROUND(L27/(1-N27/100),1))</f>
        <v/>
      </c>
      <c r="R27">
        <f>IF(M27="","",ROUND(M27/(1-N27/100),1))</f>
        <v/>
      </c>
      <c r="S27" s="46" t="inlineStr">
        <is>
          <t>М'ясо та м'ясні субпродукти, злакові, мінеральні речовини, олії та жири, субпродукти рослинного походження</t>
        </is>
      </c>
      <c r="T27" s="46" t="inlineStr">
        <is>
          <t>м'ясо та м'ясні субпродукти</t>
        </is>
      </c>
      <c r="U27" s="46" t="inlineStr">
        <is>
          <t>злакові</t>
        </is>
      </c>
      <c r="V27" s="46" t="n"/>
      <c r="W27" s="46" t="n"/>
      <c r="X27" s="46" t="n">
        <v>225</v>
      </c>
      <c r="Y27" s="46" t="n"/>
      <c r="Z27" s="46" t="n"/>
      <c r="AA27" s="46" t="n"/>
      <c r="AB27" s="46" t="n"/>
      <c r="AC27" s="46" t="n"/>
      <c r="AD27" s="46" t="n"/>
      <c r="AE27" s="46" t="n"/>
      <c r="AF27" s="46" t="n">
        <v>10</v>
      </c>
      <c r="AG27" s="46" t="inlineStr">
        <is>
          <t>оксид цинку / сульфат цинку</t>
        </is>
      </c>
      <c r="AH27" s="46" t="n"/>
      <c r="AI27" s="46" t="n"/>
      <c r="AJ27" s="46" t="n"/>
      <c r="AK27">
        <f>IF(AF27="","",IF(AH27="",IFERROR(VLOOKUP(AG27,Довідник_мінералів!$A:$B,2,0),"-"),ROUND(IFERROR(VLOOKUP(AG27,Довідник_мінералів!$A:$B,2,0),0)*AH27/100+IFERROR(VLOOKUP(AI27,Довідник_мінералів!$A:$B,2,0),0)*AJ27/100,0)))</f>
        <v/>
      </c>
      <c r="AL27" s="46" t="n">
        <v>3</v>
      </c>
      <c r="AM27" s="46" t="inlineStr">
        <is>
          <t>сульфат заліза(II)</t>
        </is>
      </c>
      <c r="AN27" s="46" t="n"/>
      <c r="AQ27">
        <f>IF(AL27="","",IF(AN27="",IFERROR(VLOOKUP(AM27,Довідник_мінералів!$A:$B,2,0),"-"),ROUND(IFERROR(VLOOKUP(AM27,Довідник_мінералів!$A:$B,2,0),0)*AN27/100+IFERROR(VLOOKUP(AO27,Довідник_мінералів!$A:$B,2,0),0)*AP27/100,0)))</f>
        <v/>
      </c>
      <c r="AR27" s="46" t="n">
        <v>2</v>
      </c>
      <c r="AS27" s="46" t="inlineStr">
        <is>
          <t>сульфат міді</t>
        </is>
      </c>
      <c r="AU27">
        <f>IF(AR27="","",IFERROR(VLOOKUP(AS27,Довідник_мінералів!$A:$B,2,0),"-"))</f>
        <v/>
      </c>
      <c r="AV27" s="46" t="n">
        <v>1</v>
      </c>
      <c r="AW27" s="46" t="inlineStr">
        <is>
          <t>оксид марганцю</t>
        </is>
      </c>
      <c r="AY27">
        <f>IF(AV27="","",IFERROR(VLOOKUP(AW27,Довідник_мінералів!$A:$B,2,0),"-"))</f>
        <v/>
      </c>
      <c r="AZ27" s="46" t="n"/>
      <c r="BA27" s="46" t="n"/>
      <c r="BB27">
        <f>IF(SE27="","",IFERROR(VLOOKUP(BA27,Довідник_мінералів!$A:$B,2,0),"-"))</f>
        <v/>
      </c>
      <c r="BC27" s="46" t="n">
        <v>0.25</v>
      </c>
      <c r="BD27" s="46" t="inlineStr">
        <is>
          <t>Ca 0.22%; P 0.19%; Na 0.3%; Mg 0.012%; таурин 0.1%; підкислювачі: Ca сульфат 0.25%, DL-метіонін 0.03%</t>
        </is>
      </c>
    </row>
    <row r="28" ht="40" customHeight="1">
      <c r="A28" s="49" t="inlineStr">
        <is>
          <t>rc_renal_dry_cat</t>
        </is>
      </c>
      <c r="B28" s="49" t="inlineStr">
        <is>
          <t>Royal Canin</t>
        </is>
      </c>
      <c r="C28" s="49" t="inlineStr">
        <is>
          <t>Renal</t>
        </is>
      </c>
      <c r="D28" s="49" t="inlineStr">
        <is>
          <t>Renal Feline (сухий)</t>
        </is>
      </c>
      <c r="E28" s="49" t="inlineStr">
        <is>
          <t>сухий</t>
        </is>
      </c>
      <c r="F28" s="49" t="inlineStr">
        <is>
          <t>кіт</t>
        </is>
      </c>
      <c r="G28" s="49" t="inlineStr">
        <is>
          <t>ХХН нирки</t>
        </is>
      </c>
      <c r="H28" s="49" t="n"/>
      <c r="I28" s="49" t="inlineStr">
        <is>
          <t>https://www.royalcanin.com/ua/cats/products/vet-products/renal-3900</t>
        </is>
      </c>
      <c r="J28" s="49" t="n">
        <v>23</v>
      </c>
      <c r="K28" s="49" t="n">
        <v>17</v>
      </c>
      <c r="L28" s="49" t="n">
        <v>4.6</v>
      </c>
      <c r="M28" s="49" t="n">
        <v>5.9</v>
      </c>
      <c r="N28" s="49" t="n"/>
      <c r="O28">
        <f>IF(J28="","",ROUND(J28/(1-N28/100),1))</f>
        <v/>
      </c>
      <c r="P28">
        <f>IF(K28="","",ROUND(K28/(1-N28/100),1))</f>
        <v/>
      </c>
      <c r="Q28">
        <f>IF(L28="","",ROUND(L28/(1-N28/100),1))</f>
        <v/>
      </c>
      <c r="R28">
        <f>IF(M28="","",ROUND(M28/(1-N28/100),1))</f>
        <v/>
      </c>
      <c r="S28" s="49" t="inlineStr">
        <is>
          <t>Кукурудзяне борошно, рис, дегідратовані протеїни свинини (L.I.P.), тваринні жири, кукурудзяний глютен, рослинна клітковина, кукурудза, гідролізат протеїнів тваринного походження, мінеральні речовини, пшеничний глютен (L.I.P.), жом цикорію, риб'ячий жир, соєва олія</t>
        </is>
      </c>
      <c r="T28" s="49" t="inlineStr">
        <is>
          <t>дегідратовані протеїни свинини (L.I.P.)</t>
        </is>
      </c>
      <c r="U28" s="49" t="inlineStr">
        <is>
          <t>кукурудзяний глютен</t>
        </is>
      </c>
      <c r="V28" s="49" t="inlineStr">
        <is>
          <t>пшеничний глютен (L.I.P.)</t>
        </is>
      </c>
      <c r="W28" s="49" t="n"/>
      <c r="X28" s="49" t="n">
        <v>800</v>
      </c>
      <c r="Y28" s="49" t="n"/>
      <c r="Z28" s="49" t="n"/>
      <c r="AA28" s="49" t="n"/>
      <c r="AB28" s="49" t="n"/>
      <c r="AC28" s="49" t="n"/>
      <c r="AD28" s="49" t="n"/>
      <c r="AE28" s="49" t="n"/>
      <c r="AF28" s="49" t="n"/>
      <c r="AG28" s="49" t="inlineStr">
        <is>
          <t>не вказано у UA маркуванні</t>
        </is>
      </c>
      <c r="AH28" s="49" t="n"/>
      <c r="AI28" s="49" t="n"/>
      <c r="AJ28" s="49" t="n"/>
      <c r="AK28">
        <f>IF(AF28="","",IF(AH28="",IFERROR(VLOOKUP(AG28,Довідник_мінералів!$A:$B,2,0),"-"),ROUND(IFERROR(VLOOKUP(AG28,Довідник_мінералів!$A:$B,2,0),0)*AH28/100+IFERROR(VLOOKUP(AI28,Довідник_мінералів!$A:$B,2,0),0)*AJ28/100,0)))</f>
        <v/>
      </c>
      <c r="AL28" s="49" t="n"/>
      <c r="AM28" s="49" t="inlineStr">
        <is>
          <t>не вказано у UA маркуванні</t>
        </is>
      </c>
      <c r="AN28" s="49" t="n"/>
      <c r="AQ28">
        <f>IF(AL28="","",IF(AN28="",IFERROR(VLOOKUP(AM28,Довідник_мінералів!$A:$B,2,0),"-"),ROUND(IFERROR(VLOOKUP(AM28,Довідник_мінералів!$A:$B,2,0),0)*AN28/100+IFERROR(VLOOKUP(AO28,Довідник_мінералів!$A:$B,2,0),0)*AP28/100,0)))</f>
        <v/>
      </c>
      <c r="AR28" s="49" t="n"/>
      <c r="AS28" s="49" t="inlineStr">
        <is>
          <t>сульфат міді (знижений рівень)</t>
        </is>
      </c>
      <c r="AU28">
        <f>IF(AR28="","",IFERROR(VLOOKUP(AS28,Довідник_мінералів!$A:$B,2,0),"-"))</f>
        <v/>
      </c>
      <c r="AV28" s="49" t="n"/>
      <c r="AW28" s="49" t="n"/>
      <c r="AY28">
        <f>IF(AV28="","",IFERROR(VLOOKUP(AW28,Довідник_мінералів!$A:$B,2,0),"-"))</f>
        <v/>
      </c>
      <c r="AZ28" s="49" t="n"/>
      <c r="BA28" s="49" t="n"/>
      <c r="BB28">
        <f>IF(SE28="","",IFERROR(VLOOKUP(BA28,Довідник_мінералів!$A:$B,2,0),"-"))</f>
        <v/>
      </c>
      <c r="BC28" s="49" t="n"/>
      <c r="BD28" s="49" t="inlineStr">
        <is>
          <t>Ca 0.6%; P 0.3%; K 0.9%; Na 0.4%; Mg 0.07%; EPA/DHA 0.42%; підлужувачі: цитрат калію, карбонат кальцію; НИЗЬКИЙ фосфор</t>
        </is>
      </c>
    </row>
    <row r="29" ht="40" customHeight="1">
      <c r="A29" s="46" t="inlineStr">
        <is>
          <t>rc_renal_select_dry_cat</t>
        </is>
      </c>
      <c r="B29" s="46" t="inlineStr">
        <is>
          <t>Royal Canin</t>
        </is>
      </c>
      <c r="C29" s="46" t="inlineStr">
        <is>
          <t>Renal</t>
        </is>
      </c>
      <c r="D29" s="46" t="inlineStr">
        <is>
          <t>Renal Select (сухий)</t>
        </is>
      </c>
      <c r="E29" s="46" t="inlineStr">
        <is>
          <t>сухий</t>
        </is>
      </c>
      <c r="F29" s="46" t="inlineStr">
        <is>
          <t>кіт</t>
        </is>
      </c>
      <c r="G29" s="46" t="inlineStr">
        <is>
          <t>ХХН нирки вибагливі коти</t>
        </is>
      </c>
      <c r="H29" s="46" t="n"/>
      <c r="I29" s="46" t="inlineStr">
        <is>
          <t>https://www.royalcanin.com/ua/cats/products/vet-products/renal-select-feline-dry-dry</t>
        </is>
      </c>
      <c r="J29" s="46" t="n">
        <v>24.5</v>
      </c>
      <c r="K29" s="46" t="n">
        <v>21.5</v>
      </c>
      <c r="L29" s="46" t="n">
        <v>4.6</v>
      </c>
      <c r="M29" s="46" t="n">
        <v>6.6</v>
      </c>
      <c r="N29" s="46" t="n"/>
      <c r="O29">
        <f>IF(J29="","",ROUND(J29/(1-N29/100),1))</f>
        <v/>
      </c>
      <c r="P29">
        <f>IF(K29="","",ROUND(K29/(1-N29/100),1))</f>
        <v/>
      </c>
      <c r="Q29">
        <f>IF(L29="","",ROUND(L29/(1-N29/100),1))</f>
        <v/>
      </c>
      <c r="R29">
        <f>IF(M29="","",ROUND(M29/(1-N29/100),1))</f>
        <v/>
      </c>
      <c r="S29" s="46" t="inlineStr">
        <is>
          <t>Тваринні жири, рис, оброблене пшеничне борошно, дегідратовані протеїни свинини (L.I.P.), пшеничне борошно, пшеничний глютен (L.I.P.), рослинна клітковина, кукурудзяний глютен, гідролізат білків тваринного походження, дегідрована риба, мінеральні речовини, екстракт цикорію, риб'ячий жир, соєва олія</t>
        </is>
      </c>
      <c r="T29" s="46" t="inlineStr">
        <is>
          <t>тваринні жири</t>
        </is>
      </c>
      <c r="U29" s="46" t="inlineStr">
        <is>
          <t>дегідратовані протеїни свинини (L.I.P.)</t>
        </is>
      </c>
      <c r="V29" s="46" t="inlineStr">
        <is>
          <t>пшеничний глютен (L.I.P.)</t>
        </is>
      </c>
      <c r="W29" s="46" t="n">
        <v>21000</v>
      </c>
      <c r="X29" s="46" t="n">
        <v>800</v>
      </c>
      <c r="Y29" s="46" t="n"/>
      <c r="Z29" s="46" t="n"/>
      <c r="AA29" s="46" t="n"/>
      <c r="AB29" s="46" t="n"/>
      <c r="AC29" s="46" t="n"/>
      <c r="AD29" s="46" t="n"/>
      <c r="AE29" s="46" t="n"/>
      <c r="AF29" s="46" t="n">
        <v>148</v>
      </c>
      <c r="AG29" s="46" t="inlineStr">
        <is>
          <t>оксид цинку / сульфат цинку</t>
        </is>
      </c>
      <c r="AH29" s="46" t="n"/>
      <c r="AI29" s="46" t="n"/>
      <c r="AJ29" s="46" t="n"/>
      <c r="AK29">
        <f>IF(AF29="","",IF(AH29="",IFERROR(VLOOKUP(AG29,Довідник_мінералів!$A:$B,2,0),"-"),ROUND(IFERROR(VLOOKUP(AG29,Довідник_мінералів!$A:$B,2,0),0)*AH29/100+IFERROR(VLOOKUP(AI29,Довідник_мінералів!$A:$B,2,0),0)*AJ29/100,0)))</f>
        <v/>
      </c>
      <c r="AL29" s="46" t="n">
        <v>45</v>
      </c>
      <c r="AM29" s="46" t="inlineStr">
        <is>
          <t>сульфат заліза(II)</t>
        </is>
      </c>
      <c r="AN29" s="46" t="n"/>
      <c r="AQ29">
        <f>IF(AL29="","",IF(AN29="",IFERROR(VLOOKUP(AM29,Довідник_мінералів!$A:$B,2,0),"-"),ROUND(IFERROR(VLOOKUP(AM29,Довідник_мінералів!$A:$B,2,0),0)*AN29/100+IFERROR(VLOOKUP(AO29,Довідник_мінералів!$A:$B,2,0),0)*AP29/100,0)))</f>
        <v/>
      </c>
      <c r="AR29" s="46" t="n">
        <v>14</v>
      </c>
      <c r="AS29" s="46" t="inlineStr">
        <is>
          <t>сульфат міді</t>
        </is>
      </c>
      <c r="AU29">
        <f>IF(AR29="","",IFERROR(VLOOKUP(AS29,Довідник_мінералів!$A:$B,2,0),"-"))</f>
        <v/>
      </c>
      <c r="AV29" s="46" t="n">
        <v>58</v>
      </c>
      <c r="AW29" s="46" t="inlineStr">
        <is>
          <t>оксид марганцю</t>
        </is>
      </c>
      <c r="AY29">
        <f>IF(AV29="","",IFERROR(VLOOKUP(AW29,Довідник_мінералів!$A:$B,2,0),"-"))</f>
        <v/>
      </c>
      <c r="AZ29" s="46" t="n">
        <v>0.08</v>
      </c>
      <c r="BA29" s="46" t="inlineStr">
        <is>
          <t>селеніт натрію</t>
        </is>
      </c>
      <c r="BB29">
        <f>IF(SE29="","",IFERROR(VLOOKUP(BA29,Довідник_мінералів!$A:$B,2,0),"-"))</f>
        <v/>
      </c>
      <c r="BC29" s="46" t="n">
        <v>4.5</v>
      </c>
      <c r="BD29" s="46" t="inlineStr">
        <is>
          <t>Ca 0.7%; P 0.41%; K 0.9%; Na 0.45%; Mg 0.08%; EPA/DHA 0.41%; підлужувачі: цитрат калію, карбонат кальцію</t>
        </is>
      </c>
    </row>
    <row r="30" ht="40" customHeight="1">
      <c r="A30" s="49" t="inlineStr">
        <is>
          <t>rc_renal_fish_wet_cat</t>
        </is>
      </c>
      <c r="B30" s="49" t="inlineStr">
        <is>
          <t>Royal Canin</t>
        </is>
      </c>
      <c r="C30" s="49" t="inlineStr">
        <is>
          <t>Renal</t>
        </is>
      </c>
      <c r="D30" s="49" t="inlineStr">
        <is>
          <t>Renal Feline Fish (вологий)</t>
        </is>
      </c>
      <c r="E30" s="49" t="inlineStr">
        <is>
          <t>вологий</t>
        </is>
      </c>
      <c r="F30" s="49" t="inlineStr">
        <is>
          <t>кіт</t>
        </is>
      </c>
      <c r="G30" s="49" t="inlineStr">
        <is>
          <t>ХХН нирки</t>
        </is>
      </c>
      <c r="H30" s="49" t="n"/>
      <c r="I30" s="49" t="inlineStr">
        <is>
          <t>https://www.royalcanin.com/ua/cats/products/vet-products/renal-fish-wet</t>
        </is>
      </c>
      <c r="J30" s="49" t="n">
        <v>6.6</v>
      </c>
      <c r="K30" s="49" t="n">
        <v>6</v>
      </c>
      <c r="L30" s="49" t="n">
        <v>1</v>
      </c>
      <c r="M30" s="49" t="n">
        <v>1.1</v>
      </c>
      <c r="N30" s="49" t="n">
        <v>80</v>
      </c>
      <c r="O30">
        <f>IF(J30="","",ROUND(J30/(1-N30/100),1))</f>
        <v/>
      </c>
      <c r="P30">
        <f>IF(K30="","",ROUND(K30/(1-N30/100),1))</f>
        <v/>
      </c>
      <c r="Q30">
        <f>IF(L30="","",ROUND(L30/(1-N30/100),1))</f>
        <v/>
      </c>
      <c r="R30">
        <f>IF(M30="","",ROUND(M30/(1-N30/100),1))</f>
        <v/>
      </c>
      <c r="S30" s="49" t="inlineStr">
        <is>
          <t>М'ясо та м'ясні субпродукти, риба та рибні субпродукти, злакові, олії та жири, мінеральні речовини</t>
        </is>
      </c>
      <c r="T30" s="49" t="inlineStr">
        <is>
          <t>риба та рибні субпродукти</t>
        </is>
      </c>
      <c r="U30" s="49" t="inlineStr">
        <is>
          <t>м'ясо та м'ясні субпродукти</t>
        </is>
      </c>
      <c r="V30" s="49" t="inlineStr">
        <is>
          <t>злакові</t>
        </is>
      </c>
      <c r="W30" s="49" t="n"/>
      <c r="X30" s="49" t="n">
        <v>330</v>
      </c>
      <c r="Y30" s="49" t="n"/>
      <c r="Z30" s="49" t="n"/>
      <c r="AA30" s="49" t="n"/>
      <c r="AB30" s="49" t="n"/>
      <c r="AC30" s="49" t="n"/>
      <c r="AD30" s="49" t="n"/>
      <c r="AE30" s="49" t="n"/>
      <c r="AF30" s="49" t="n"/>
      <c r="AG30" s="49" t="n"/>
      <c r="AH30" s="49" t="n"/>
      <c r="AI30" s="49" t="n"/>
      <c r="AJ30" s="49" t="n"/>
      <c r="AK30">
        <f>IF(AF30="","",IF(AH30="",IFERROR(VLOOKUP(AG30,Довідник_мінералів!$A:$B,2,0),"-"),ROUND(IFERROR(VLOOKUP(AG30,Довідник_мінералів!$A:$B,2,0),0)*AH30/100+IFERROR(VLOOKUP(AI30,Довідник_мінералів!$A:$B,2,0),0)*AJ30/100,0)))</f>
        <v/>
      </c>
      <c r="AL30" s="49" t="n"/>
      <c r="AM30" s="49" t="n"/>
      <c r="AN30" s="49" t="n"/>
      <c r="AQ30">
        <f>IF(AL30="","",IF(AN30="",IFERROR(VLOOKUP(AM30,Довідник_мінералів!$A:$B,2,0),"-"),ROUND(IFERROR(VLOOKUP(AM30,Довідник_мінералів!$A:$B,2,0),0)*AN30/100+IFERROR(VLOOKUP(AO30,Довідник_мінералів!$A:$B,2,0),0)*AP30/100,0)))</f>
        <v/>
      </c>
      <c r="AR30" s="49" t="n"/>
      <c r="AS30" s="49" t="n"/>
      <c r="AU30">
        <f>IF(AR30="","",IFERROR(VLOOKUP(AS30,Довідник_мінералів!$A:$B,2,0),"-"))</f>
        <v/>
      </c>
      <c r="AV30" s="49" t="n"/>
      <c r="AW30" s="49" t="n"/>
      <c r="AY30">
        <f>IF(AV30="","",IFERROR(VLOOKUP(AW30,Довідник_мінералів!$A:$B,2,0),"-"))</f>
        <v/>
      </c>
      <c r="AZ30" s="49" t="n"/>
      <c r="BA30" s="49" t="n"/>
      <c r="BB30">
        <f>IF(SE30="","",IFERROR(VLOOKUP(BA30,Довідник_мінералів!$A:$B,2,0),"-"))</f>
        <v/>
      </c>
      <c r="BC30" s="49" t="n"/>
      <c r="BD30" s="49" t="inlineStr">
        <is>
          <t>Ca 0.14%; P 0.09%; K 0.18%; Na 0.08%; Mg 0.016%; підлужувачі: цитрат калію, карбонат кальцію; НИЗЬКИЙ фосфор</t>
        </is>
      </c>
    </row>
    <row r="31" ht="40" customHeight="1">
      <c r="A31" s="46" t="inlineStr">
        <is>
          <t>rc_renal_beef_wet_cat</t>
        </is>
      </c>
      <c r="B31" s="46" t="inlineStr">
        <is>
          <t>Royal Canin</t>
        </is>
      </c>
      <c r="C31" s="46" t="inlineStr">
        <is>
          <t>Renal</t>
        </is>
      </c>
      <c r="D31" s="46" t="inlineStr">
        <is>
          <t>Renal Feline Beef (вологий)</t>
        </is>
      </c>
      <c r="E31" s="46" t="inlineStr">
        <is>
          <t>вологий</t>
        </is>
      </c>
      <c r="F31" s="46" t="inlineStr">
        <is>
          <t>кіт</t>
        </is>
      </c>
      <c r="G31" s="46" t="inlineStr">
        <is>
          <t>ХХН нирки</t>
        </is>
      </c>
      <c r="H31" s="46" t="n"/>
      <c r="I31" s="46" t="inlineStr">
        <is>
          <t>https://www.royalcanin.com/ua/cats/products/vet-products/renal-beef-wet</t>
        </is>
      </c>
      <c r="J31" s="46" t="n">
        <v>6.7</v>
      </c>
      <c r="K31" s="46" t="n">
        <v>6.6</v>
      </c>
      <c r="L31" s="46" t="n">
        <v>0.5</v>
      </c>
      <c r="M31" s="46" t="n">
        <v>1.1</v>
      </c>
      <c r="N31" s="46" t="n">
        <v>80</v>
      </c>
      <c r="O31">
        <f>IF(J31="","",ROUND(J31/(1-N31/100),1))</f>
        <v/>
      </c>
      <c r="P31">
        <f>IF(K31="","",ROUND(K31/(1-N31/100),1))</f>
        <v/>
      </c>
      <c r="Q31">
        <f>IF(L31="","",ROUND(L31/(1-N31/100),1))</f>
        <v/>
      </c>
      <c r="R31">
        <f>IF(M31="","",ROUND(M31/(1-N31/100),1))</f>
        <v/>
      </c>
      <c r="S31" s="46" t="inlineStr">
        <is>
          <t>М'ясо та м'ясні субпродукти (яловичина 4%), злаки, олії та жири, мінеральні речовини, субпродукти рослинного походження, вуглеводи</t>
        </is>
      </c>
      <c r="T31" s="46" t="inlineStr">
        <is>
          <t>яловичина (4%)</t>
        </is>
      </c>
      <c r="U31" s="46" t="inlineStr">
        <is>
          <t>м'ясо та м'ясні субпродукти</t>
        </is>
      </c>
      <c r="V31" s="46" t="inlineStr">
        <is>
          <t>злаки</t>
        </is>
      </c>
      <c r="W31" s="46" t="n"/>
      <c r="X31" s="46" t="n">
        <v>420</v>
      </c>
      <c r="Y31" s="46" t="n"/>
      <c r="Z31" s="46" t="n"/>
      <c r="AA31" s="46" t="n"/>
      <c r="AB31" s="46" t="n"/>
      <c r="AC31" s="46" t="n"/>
      <c r="AD31" s="46" t="n"/>
      <c r="AE31" s="46" t="n"/>
      <c r="AF31" s="46" t="n"/>
      <c r="AG31" s="46" t="n"/>
      <c r="AH31" s="46" t="n"/>
      <c r="AI31" s="46" t="n"/>
      <c r="AJ31" s="46" t="n"/>
      <c r="AK31">
        <f>IF(AF31="","",IF(AH31="",IFERROR(VLOOKUP(AG31,Довідник_мінералів!$A:$B,2,0),"-"),ROUND(IFERROR(VLOOKUP(AG31,Довідник_мінералів!$A:$B,2,0),0)*AH31/100+IFERROR(VLOOKUP(AI31,Довідник_мінералів!$A:$B,2,0),0)*AJ31/100,0)))</f>
        <v/>
      </c>
      <c r="AL31" s="46" t="n"/>
      <c r="AM31" s="46" t="n"/>
      <c r="AN31" s="46" t="n"/>
      <c r="AQ31">
        <f>IF(AL31="","",IF(AN31="",IFERROR(VLOOKUP(AM31,Довідник_мінералів!$A:$B,2,0),"-"),ROUND(IFERROR(VLOOKUP(AM31,Довідник_мінералів!$A:$B,2,0),0)*AN31/100+IFERROR(VLOOKUP(AO31,Довідник_мінералів!$A:$B,2,0),0)*AP31/100,0)))</f>
        <v/>
      </c>
      <c r="AR31" s="46" t="n"/>
      <c r="AS31" s="46" t="n"/>
      <c r="AU31">
        <f>IF(AR31="","",IFERROR(VLOOKUP(AS31,Довідник_мінералів!$A:$B,2,0),"-"))</f>
        <v/>
      </c>
      <c r="AV31" s="46" t="n"/>
      <c r="AW31" s="46" t="n"/>
      <c r="AY31">
        <f>IF(AV31="","",IFERROR(VLOOKUP(AW31,Довідник_мінералів!$A:$B,2,0),"-"))</f>
        <v/>
      </c>
      <c r="AZ31" s="46" t="n"/>
      <c r="BA31" s="46" t="n"/>
      <c r="BB31">
        <f>IF(SE31="","",IFERROR(VLOOKUP(BA31,Довідник_мінералів!$A:$B,2,0),"-"))</f>
        <v/>
      </c>
      <c r="BC31" s="46" t="n"/>
      <c r="BD31" s="46" t="inlineStr">
        <is>
          <t>Ca 0.13%; P 0.075%; K 0.19%; Na 0.08%; Mg 0.016%; підлужувачі: цитрат калію, карбонат кальцію</t>
        </is>
      </c>
    </row>
    <row r="32" ht="40" customHeight="1">
      <c r="A32" s="49" t="inlineStr">
        <is>
          <t>rc_hepatic_dry_cat</t>
        </is>
      </c>
      <c r="B32" s="49" t="inlineStr">
        <is>
          <t>Royal Canin</t>
        </is>
      </c>
      <c r="C32" s="49" t="inlineStr">
        <is>
          <t>Hepatic</t>
        </is>
      </c>
      <c r="D32" s="49" t="inlineStr">
        <is>
          <t>Hepatic (сухий)</t>
        </is>
      </c>
      <c r="E32" s="49" t="inlineStr">
        <is>
          <t>сухий</t>
        </is>
      </c>
      <c r="F32" s="49" t="inlineStr">
        <is>
          <t>кіт</t>
        </is>
      </c>
      <c r="G32" s="49" t="inlineStr">
        <is>
          <t>захворювання печінки</t>
        </is>
      </c>
      <c r="H32" s="49" t="n"/>
      <c r="I32" s="49" t="inlineStr">
        <is>
          <t>https://www.royalcanin.com/ua/cats/products/vet-products/hepatic-4012</t>
        </is>
      </c>
      <c r="J32" s="49" t="n">
        <v>26</v>
      </c>
      <c r="K32" s="49" t="n">
        <v>22</v>
      </c>
      <c r="L32" s="49" t="n">
        <v>5.1</v>
      </c>
      <c r="M32" s="49" t="n">
        <v>6.2</v>
      </c>
      <c r="N32" s="49" t="n"/>
      <c r="O32">
        <f>IF(J32="","",ROUND(J32/(1-N32/100),1))</f>
        <v/>
      </c>
      <c r="P32">
        <f>IF(K32="","",ROUND(K32/(1-N32/100),1))</f>
        <v/>
      </c>
      <c r="Q32">
        <f>IF(L32="","",ROUND(L32/(1-N32/100),1))</f>
        <v/>
      </c>
      <c r="R32">
        <f>IF(M32="","",ROUND(M32/(1-N32/100),1))</f>
        <v/>
      </c>
      <c r="S32" s="49" t="inlineStr">
        <is>
          <t>Рис, тваринні жири, кукурудза, пшеничний глютен, дегідратовані протеїни свинини, кукурудзяний глютен, рослинна клітковина, гідролізована печінка свійської птиці, мінеральні речовини, екстракт цикорію, риб'ячий жир, соєва олія, фруктоолігосахариди, гідролізат дріжджів (МОС)</t>
        </is>
      </c>
      <c r="T32" s="49" t="inlineStr">
        <is>
          <t>рис</t>
        </is>
      </c>
      <c r="U32" s="49" t="inlineStr">
        <is>
          <t>дегідратовані протеїни свинини</t>
        </is>
      </c>
      <c r="V32" s="49" t="inlineStr">
        <is>
          <t>гідролізована печінка свійської птиці</t>
        </is>
      </c>
      <c r="W32" s="49" t="n"/>
      <c r="X32" s="49" t="n"/>
      <c r="Y32" s="49" t="n"/>
      <c r="Z32" s="49" t="n"/>
      <c r="AA32" s="49" t="n"/>
      <c r="AB32" s="49" t="n"/>
      <c r="AC32" s="49" t="n"/>
      <c r="AD32" s="49" t="n"/>
      <c r="AE32" s="49" t="n"/>
      <c r="AF32" s="49" t="n"/>
      <c r="AG32" s="49" t="n"/>
      <c r="AH32" s="49" t="n"/>
      <c r="AI32" s="49" t="n"/>
      <c r="AJ32" s="49" t="n"/>
      <c r="AK32">
        <f>IF(AF32="","",IF(AH32="",IFERROR(VLOOKUP(AG32,Довідник_мінералів!$A:$B,2,0),"-"),ROUND(IFERROR(VLOOKUP(AG32,Довідник_мінералів!$A:$B,2,0),0)*AH32/100+IFERROR(VLOOKUP(AI32,Довідник_мінералів!$A:$B,2,0),0)*AJ32/100,0)))</f>
        <v/>
      </c>
      <c r="AL32" s="49" t="n"/>
      <c r="AM32" s="49" t="n"/>
      <c r="AN32" s="49" t="n"/>
      <c r="AQ32">
        <f>IF(AL32="","",IF(AN32="",IFERROR(VLOOKUP(AM32,Довідник_мінералів!$A:$B,2,0),"-"),ROUND(IFERROR(VLOOKUP(AM32,Довідник_мінералів!$A:$B,2,0),0)*AN32/100+IFERROR(VLOOKUP(AO32,Довідник_мінералів!$A:$B,2,0),0)*AP32/100,0)))</f>
        <v/>
      </c>
      <c r="AR32" s="49" t="n"/>
      <c r="AS32" s="49" t="inlineStr">
        <is>
          <t>мідь знижена (загальна Cu 3.6 мг/кг)</t>
        </is>
      </c>
      <c r="AU32">
        <f>IF(AR32="","",IFERROR(VLOOKUP(AS32,Довідник_мінералів!$A:$B,2,0),"-"))</f>
        <v/>
      </c>
      <c r="AV32" s="49" t="n"/>
      <c r="AW32" s="49" t="n"/>
      <c r="AY32">
        <f>IF(AV32="","",IFERROR(VLOOKUP(AW32,Довідник_мінералів!$A:$B,2,0),"-"))</f>
        <v/>
      </c>
      <c r="AZ32" s="49" t="n"/>
      <c r="BA32" s="49" t="n"/>
      <c r="BB32">
        <f>IF(SE32="","",IFERROR(VLOOKUP(BA32,Довідник_мінералів!$A:$B,2,0),"-"))</f>
        <v/>
      </c>
      <c r="BC32" s="49" t="n"/>
      <c r="BD32" s="49" t="inlineStr">
        <is>
          <t>Na 0.3%; Cu загальна 3.6 мг/кг (ЗНИЖЕНА); EPA/DHA 0.35%; S/O index</t>
        </is>
      </c>
    </row>
    <row r="33" ht="40" customHeight="1">
      <c r="A33" s="46" t="inlineStr">
        <is>
          <t>rc_hypoallergenic_dry_cat</t>
        </is>
      </c>
      <c r="B33" s="46" t="inlineStr">
        <is>
          <t>Royal Canin</t>
        </is>
      </c>
      <c r="C33" s="46" t="inlineStr">
        <is>
          <t>Hypoallergenic</t>
        </is>
      </c>
      <c r="D33" s="46" t="inlineStr">
        <is>
          <t>Hypoallergenic (сухий)</t>
        </is>
      </c>
      <c r="E33" s="46" t="inlineStr">
        <is>
          <t>сухий</t>
        </is>
      </c>
      <c r="F33" s="46" t="inlineStr">
        <is>
          <t>кіт</t>
        </is>
      </c>
      <c r="G33" s="46" t="inlineStr">
        <is>
          <t>алергія / IBD / EPI</t>
        </is>
      </c>
      <c r="H33" s="46" t="n"/>
      <c r="I33" s="46" t="inlineStr">
        <is>
          <t>https://www.royalcanin.com/ua/cats/products/vet-products/hypoallergenic-3902</t>
        </is>
      </c>
      <c r="J33" s="46" t="n">
        <v>25.5</v>
      </c>
      <c r="K33" s="46" t="n">
        <v>20</v>
      </c>
      <c r="L33" s="46" t="n">
        <v>3.6</v>
      </c>
      <c r="M33" s="46" t="n">
        <v>6.3</v>
      </c>
      <c r="N33" s="46" t="n"/>
      <c r="O33">
        <f>IF(J33="","",ROUND(J33/(1-N33/100),1))</f>
        <v/>
      </c>
      <c r="P33">
        <f>IF(K33="","",ROUND(K33/(1-N33/100),1))</f>
        <v/>
      </c>
      <c r="Q33">
        <f>IF(L33="","",ROUND(L33/(1-N33/100),1))</f>
        <v/>
      </c>
      <c r="R33">
        <f>IF(M33="","",ROUND(M33/(1-N33/100),1))</f>
        <v/>
      </c>
      <c r="S33" s="46" t="inlineStr">
        <is>
          <t>Рис, гідролізат ізолята соєвого протеїну, тваринні жири, рослинна клітковина, мінеральні речовини, буряковий жом, гідролізована печінка свійської птиці, соєва олія, риб'ячий жир, фруктоолігосахариди, олія огірочника (GLA), екстракт чорнобривців (лютеїн)</t>
        </is>
      </c>
      <c r="T33" s="46" t="inlineStr">
        <is>
          <t>гідролізат ізолята соєвого протеїну</t>
        </is>
      </c>
      <c r="U33" s="46" t="inlineStr">
        <is>
          <t>рис</t>
        </is>
      </c>
      <c r="V33" s="46" t="inlineStr">
        <is>
          <t>гідролізована печінка свійської птиці</t>
        </is>
      </c>
      <c r="W33" s="46" t="n">
        <v>27000</v>
      </c>
      <c r="X33" s="46" t="n">
        <v>800</v>
      </c>
      <c r="Y33" s="46" t="n"/>
      <c r="Z33" s="46" t="n"/>
      <c r="AA33" s="46" t="n"/>
      <c r="AB33" s="46" t="n"/>
      <c r="AC33" s="46" t="n"/>
      <c r="AD33" s="46" t="n"/>
      <c r="AE33" s="46" t="n"/>
      <c r="AF33" s="46" t="n">
        <v>153</v>
      </c>
      <c r="AG33" s="46" t="inlineStr">
        <is>
          <t>оксид цинку / сульфат цинку</t>
        </is>
      </c>
      <c r="AH33" s="46" t="n"/>
      <c r="AI33" s="46" t="n"/>
      <c r="AJ33" s="46" t="n"/>
      <c r="AK33">
        <f>IF(AF33="","",IF(AH33="",IFERROR(VLOOKUP(AG33,Довідник_мінералів!$A:$B,2,0),"-"),ROUND(IFERROR(VLOOKUP(AG33,Довідник_мінералів!$A:$B,2,0),0)*AH33/100+IFERROR(VLOOKUP(AI33,Довідник_мінералів!$A:$B,2,0),0)*AJ33/100,0)))</f>
        <v/>
      </c>
      <c r="AL33" s="46" t="n">
        <v>41</v>
      </c>
      <c r="AM33" s="46" t="inlineStr">
        <is>
          <t>сульфат заліза(II)</t>
        </is>
      </c>
      <c r="AN33" s="46" t="n"/>
      <c r="AQ33">
        <f>IF(AL33="","",IF(AN33="",IFERROR(VLOOKUP(AM33,Довідник_мінералів!$A:$B,2,0),"-"),ROUND(IFERROR(VLOOKUP(AM33,Довідник_мінералів!$A:$B,2,0),0)*AN33/100+IFERROR(VLOOKUP(AO33,Довідник_мінералів!$A:$B,2,0),0)*AP33/100,0)))</f>
        <v/>
      </c>
      <c r="AR33" s="46" t="n">
        <v>15</v>
      </c>
      <c r="AS33" s="46" t="inlineStr">
        <is>
          <t>сульфат міді</t>
        </is>
      </c>
      <c r="AU33">
        <f>IF(AR33="","",IFERROR(VLOOKUP(AS33,Довідник_мінералів!$A:$B,2,0),"-"))</f>
        <v/>
      </c>
      <c r="AV33" s="46" t="n">
        <v>54</v>
      </c>
      <c r="AW33" s="46" t="inlineStr">
        <is>
          <t>оксид марганцю</t>
        </is>
      </c>
      <c r="AY33">
        <f>IF(AV33="","",IFERROR(VLOOKUP(AW33,Довідник_мінералів!$A:$B,2,0),"-"))</f>
        <v/>
      </c>
      <c r="AZ33" s="46" t="n">
        <v>0.26</v>
      </c>
      <c r="BA33" s="46" t="inlineStr">
        <is>
          <t>селеніт натрію</t>
        </is>
      </c>
      <c r="BB33">
        <f>IF(SE33="","",IFERROR(VLOOKUP(BA33,Довідник_мінералів!$A:$B,2,0),"-"))</f>
        <v/>
      </c>
      <c r="BC33" s="46" t="n">
        <v>3.7</v>
      </c>
      <c r="BD33" s="46" t="inlineStr">
        <is>
          <t>EPA/DHA 3.2 г/кг; Омега-3 9.8 г/кг; лінолева+арахідонова 46.4 г/кг; олія огірочника (GLA)</t>
        </is>
      </c>
    </row>
    <row r="34" ht="40" customHeight="1">
      <c r="A34" s="49" t="inlineStr">
        <is>
          <t>rc_anallergenic_dry_cat</t>
        </is>
      </c>
      <c r="B34" s="49" t="inlineStr">
        <is>
          <t>Royal Canin</t>
        </is>
      </c>
      <c r="C34" s="49" t="inlineStr">
        <is>
          <t>Anallergenic</t>
        </is>
      </c>
      <c r="D34" s="49" t="inlineStr">
        <is>
          <t>Anallergenic (сухий)</t>
        </is>
      </c>
      <c r="E34" s="49" t="inlineStr">
        <is>
          <t>сухий</t>
        </is>
      </c>
      <c r="F34" s="49" t="inlineStr">
        <is>
          <t>кіт</t>
        </is>
      </c>
      <c r="G34" s="49" t="inlineStr">
        <is>
          <t>важка алергія / елімінаційна дієта</t>
        </is>
      </c>
      <c r="H34" s="49" t="n"/>
      <c r="I34" s="49" t="inlineStr">
        <is>
          <t>https://www.royalcanin.com/ua/cats/products/vet-products/anallergenic-dry</t>
        </is>
      </c>
      <c r="J34" s="49" t="n">
        <v>24.6</v>
      </c>
      <c r="K34" s="49" t="n">
        <v>17</v>
      </c>
      <c r="L34" s="49" t="n">
        <v>3.7</v>
      </c>
      <c r="M34" s="49" t="n">
        <v>7.6</v>
      </c>
      <c r="N34" s="49" t="n"/>
      <c r="O34">
        <f>IF(J34="","",ROUND(J34/(1-N34/100),1))</f>
        <v/>
      </c>
      <c r="P34">
        <f>IF(K34="","",ROUND(K34/(1-N34/100),1))</f>
        <v/>
      </c>
      <c r="Q34">
        <f>IF(L34="","",ROUND(L34/(1-N34/100),1))</f>
        <v/>
      </c>
      <c r="R34">
        <f>IF(M34="","",ROUND(M34/(1-N34/100),1))</f>
        <v/>
      </c>
      <c r="S34" s="49" t="inlineStr">
        <is>
          <t>Кукурудзяний крохмаль, пір'євий гідролізат малої молекулярної ваги (L-амінокислоти та олігопептиди), кокосова олія, соєва олія, рослинна клітковина, мінеральні речовини, тваринний жир, риб'ячий жир, екстракт цикорію, фруктоолігосахариди, мальтодекстрин</t>
        </is>
      </c>
      <c r="T34" s="49" t="inlineStr">
        <is>
          <t>пір'євий гідролізат малої молекулярної ваги</t>
        </is>
      </c>
      <c r="U34" s="49" t="inlineStr">
        <is>
          <t>кукурудзяний крохмаль</t>
        </is>
      </c>
      <c r="V34" s="49" t="inlineStr">
        <is>
          <t>кокосова олія</t>
        </is>
      </c>
      <c r="W34" s="49" t="n">
        <v>36500</v>
      </c>
      <c r="X34" s="49" t="n">
        <v>800</v>
      </c>
      <c r="Y34" s="49" t="n"/>
      <c r="Z34" s="49" t="n"/>
      <c r="AA34" s="49" t="n"/>
      <c r="AB34" s="49" t="n"/>
      <c r="AC34" s="49" t="n"/>
      <c r="AD34" s="49" t="n"/>
      <c r="AE34" s="49" t="n"/>
      <c r="AF34" s="49" t="n">
        <v>162</v>
      </c>
      <c r="AG34" s="49" t="inlineStr">
        <is>
          <t>оксид цинку / сульфат цинку</t>
        </is>
      </c>
      <c r="AH34" s="49" t="n"/>
      <c r="AI34" s="49" t="n"/>
      <c r="AJ34" s="49" t="n"/>
      <c r="AK34">
        <f>IF(AF34="","",IF(AH34="",IFERROR(VLOOKUP(AG34,Довідник_мінералів!$A:$B,2,0),"-"),ROUND(IFERROR(VLOOKUP(AG34,Довідник_мінералів!$A:$B,2,0),0)*AH34/100+IFERROR(VLOOKUP(AI34,Довідник_мінералів!$A:$B,2,0),0)*AJ34/100,0)))</f>
        <v/>
      </c>
      <c r="AL34" s="49" t="n">
        <v>42</v>
      </c>
      <c r="AM34" s="49" t="inlineStr">
        <is>
          <t>сульфат заліза(II)</t>
        </is>
      </c>
      <c r="AN34" s="49" t="n"/>
      <c r="AQ34">
        <f>IF(AL34="","",IF(AN34="",IFERROR(VLOOKUP(AM34,Довідник_мінералів!$A:$B,2,0),"-"),ROUND(IFERROR(VLOOKUP(AM34,Довідник_мінералів!$A:$B,2,0),0)*AN34/100+IFERROR(VLOOKUP(AO34,Довідник_мінералів!$A:$B,2,0),0)*AP34/100,0)))</f>
        <v/>
      </c>
      <c r="AR34" s="49" t="n">
        <v>15</v>
      </c>
      <c r="AS34" s="49" t="inlineStr">
        <is>
          <t>сульфат міді</t>
        </is>
      </c>
      <c r="AU34">
        <f>IF(AR34="","",IFERROR(VLOOKUP(AS34,Довідник_мінералів!$A:$B,2,0),"-"))</f>
        <v/>
      </c>
      <c r="AV34" s="49" t="n">
        <v>55</v>
      </c>
      <c r="AW34" s="49" t="inlineStr">
        <is>
          <t>оксид марганцю</t>
        </is>
      </c>
      <c r="AY34">
        <f>IF(AV34="","",IFERROR(VLOOKUP(AW34,Довідник_мінералів!$A:$B,2,0),"-"))</f>
        <v/>
      </c>
      <c r="AZ34" s="49" t="n">
        <v>0.26</v>
      </c>
      <c r="BA34" s="49" t="inlineStr">
        <is>
          <t>селеніт натрію</t>
        </is>
      </c>
      <c r="BB34">
        <f>IF(SE34="","",IFERROR(VLOOKUP(BA34,Довідник_мінералів!$A:$B,2,0),"-"))</f>
        <v/>
      </c>
      <c r="BC34" s="49" t="n">
        <v>3.8</v>
      </c>
      <c r="BD34" s="49" t="inlineStr">
        <is>
          <t>Єдиний джерело білку: пір'євий гідролізат (не містить жодного цільного білка); лінолева+арахідонова 33.9 г/кг</t>
        </is>
      </c>
    </row>
    <row r="35" ht="40" customHeight="1">
      <c r="A35" s="46" t="inlineStr">
        <is>
          <t>rc_diabetic_dry_cat</t>
        </is>
      </c>
      <c r="B35" s="46" t="inlineStr">
        <is>
          <t>Royal Canin</t>
        </is>
      </c>
      <c r="C35" s="46" t="inlineStr">
        <is>
          <t>Diabetic</t>
        </is>
      </c>
      <c r="D35" s="46" t="inlineStr">
        <is>
          <t>Diabetic (сухий)</t>
        </is>
      </c>
      <c r="E35" s="46" t="inlineStr">
        <is>
          <t>сухий</t>
        </is>
      </c>
      <c r="F35" s="46" t="inlineStr">
        <is>
          <t>кіт</t>
        </is>
      </c>
      <c r="G35" s="46" t="inlineStr">
        <is>
          <t>цукровий діабет</t>
        </is>
      </c>
      <c r="H35" s="46" t="n"/>
      <c r="I35" s="46" t="inlineStr">
        <is>
          <t>https://www.royalcanin.com/ua/cats/products/vet-products/diabetic-feline-dry</t>
        </is>
      </c>
      <c r="J35" s="46" t="n">
        <v>46</v>
      </c>
      <c r="K35" s="46" t="n">
        <v>12</v>
      </c>
      <c r="L35" s="46" t="n">
        <v>3.8</v>
      </c>
      <c r="M35" s="46" t="n">
        <v>6.4</v>
      </c>
      <c r="N35" s="46" t="n"/>
      <c r="O35">
        <f>IF(J35="","",ROUND(J35/(1-N35/100),1))</f>
        <v/>
      </c>
      <c r="P35">
        <f>IF(K35="","",ROUND(K35/(1-N35/100),1))</f>
        <v/>
      </c>
      <c r="Q35">
        <f>IF(L35="","",ROUND(L35/(1-N35/100),1))</f>
        <v/>
      </c>
      <c r="R35">
        <f>IF(M35="","",ROUND(M35/(1-N35/100),1))</f>
        <v/>
      </c>
      <c r="S35" s="46" t="inlineStr">
        <is>
          <t>Дегідратовані протеїни м'яса птиці, ячмінь, пшеничний глютен (L.I.P.), кукурудзяний глютен, ізолят соєвого протеїну (L.I.P.), тапіока, тваринні жири, гідролізат білків тваринного походження, рослинна клітковина, екстракт цикорію, мінеральні речовини, риб'ячий жир, оболонка та насіння подорожника, фруктоолігосахариди, соєва олія</t>
        </is>
      </c>
      <c r="T35" s="46" t="inlineStr">
        <is>
          <t>дегідратовані протеїни м'яса птиці</t>
        </is>
      </c>
      <c r="U35" s="46" t="inlineStr">
        <is>
          <t>ячмінь</t>
        </is>
      </c>
      <c r="V35" s="46" t="inlineStr">
        <is>
          <t>ізолят соєвого протеїну (L.I.P.)</t>
        </is>
      </c>
      <c r="W35" s="46" t="n">
        <v>25000</v>
      </c>
      <c r="X35" s="46" t="n">
        <v>1000</v>
      </c>
      <c r="Y35" s="46" t="n"/>
      <c r="Z35" s="46" t="n"/>
      <c r="AA35" s="46" t="n"/>
      <c r="AB35" s="46" t="n"/>
      <c r="AC35" s="46" t="n"/>
      <c r="AD35" s="46" t="n"/>
      <c r="AE35" s="46" t="n"/>
      <c r="AF35" s="46" t="n">
        <v>130</v>
      </c>
      <c r="AG35" s="46" t="inlineStr">
        <is>
          <t>оксид цинку / сульфат цинку</t>
        </is>
      </c>
      <c r="AH35" s="46" t="n"/>
      <c r="AI35" s="46" t="n"/>
      <c r="AJ35" s="46" t="n"/>
      <c r="AK35">
        <f>IF(AF35="","",IF(AH35="",IFERROR(VLOOKUP(AG35,Довідник_мінералів!$A:$B,2,0),"-"),ROUND(IFERROR(VLOOKUP(AG35,Довідник_мінералів!$A:$B,2,0),0)*AH35/100+IFERROR(VLOOKUP(AI35,Довідник_мінералів!$A:$B,2,0),0)*AJ35/100,0)))</f>
        <v/>
      </c>
      <c r="AL35" s="46" t="n">
        <v>33</v>
      </c>
      <c r="AM35" s="46" t="inlineStr">
        <is>
          <t>сульфат заліза(II)</t>
        </is>
      </c>
      <c r="AN35" s="46" t="n"/>
      <c r="AQ35">
        <f>IF(AL35="","",IF(AN35="",IFERROR(VLOOKUP(AM35,Довідник_мінералів!$A:$B,2,0),"-"),ROUND(IFERROR(VLOOKUP(AM35,Довідник_мінералів!$A:$B,2,0),0)*AN35/100+IFERROR(VLOOKUP(AO35,Довідник_мінералів!$A:$B,2,0),0)*AP35/100,0)))</f>
        <v/>
      </c>
      <c r="AR35" s="46" t="n">
        <v>10</v>
      </c>
      <c r="AS35" s="46" t="inlineStr">
        <is>
          <t>сульфат міді</t>
        </is>
      </c>
      <c r="AU35">
        <f>IF(AR35="","",IFERROR(VLOOKUP(AS35,Довідник_мінералів!$A:$B,2,0),"-"))</f>
        <v/>
      </c>
      <c r="AV35" s="46" t="n">
        <v>43</v>
      </c>
      <c r="AW35" s="46" t="inlineStr">
        <is>
          <t>оксид марганцю</t>
        </is>
      </c>
      <c r="AY35">
        <f>IF(AV35="","",IFERROR(VLOOKUP(AW35,Довідник_мінералів!$A:$B,2,0),"-"))</f>
        <v/>
      </c>
      <c r="AZ35" s="46" t="n">
        <v>0.05</v>
      </c>
      <c r="BA35" s="46" t="inlineStr">
        <is>
          <t>селеніт натрію</t>
        </is>
      </c>
      <c r="BB35">
        <f>IF(SE35="","",IFERROR(VLOOKUP(BA35,Довідник_мінералів!$A:$B,2,0),"-"))</f>
        <v/>
      </c>
      <c r="BC35" s="46" t="n">
        <v>3.3</v>
      </c>
      <c r="BD35" s="46" t="inlineStr">
        <is>
          <t>ДУЖЕ ВИСОКИЙ білок 46%; крохмаль 19%; цукри 1.5%; ячмінь + тапіока як джерела вуглеводів (низький ГІ)</t>
        </is>
      </c>
    </row>
    <row r="36" ht="40" customHeight="1">
      <c r="A36" s="49" t="inlineStr">
        <is>
          <t>rc_satiety_dry_cat</t>
        </is>
      </c>
      <c r="B36" s="49" t="inlineStr">
        <is>
          <t>Royal Canin</t>
        </is>
      </c>
      <c r="C36" s="49" t="inlineStr">
        <is>
          <t>Satiety</t>
        </is>
      </c>
      <c r="D36" s="49" t="inlineStr">
        <is>
          <t>Satiety Weight Management (сухий)</t>
        </is>
      </c>
      <c r="E36" s="49" t="inlineStr">
        <is>
          <t>сухий</t>
        </is>
      </c>
      <c r="F36" s="49" t="inlineStr">
        <is>
          <t>кіт</t>
        </is>
      </c>
      <c r="G36" s="49" t="inlineStr">
        <is>
          <t>ожиріння / зайва вага</t>
        </is>
      </c>
      <c r="H36" s="49" t="n"/>
      <c r="I36" s="49" t="inlineStr">
        <is>
          <t>https://www.royalcanin.com/ua/cats/products/vet-products/satiety-weight-management-3943</t>
        </is>
      </c>
      <c r="J36" s="49" t="n">
        <v>34</v>
      </c>
      <c r="K36" s="49" t="n">
        <v>9</v>
      </c>
      <c r="L36" s="49" t="n">
        <v>14.6</v>
      </c>
      <c r="M36" s="49" t="n">
        <v>8.6</v>
      </c>
      <c r="N36" s="49" t="n"/>
      <c r="O36">
        <f>IF(J36="","",ROUND(J36/(1-N36/100),1))</f>
        <v/>
      </c>
      <c r="P36">
        <f>IF(K36="","",ROUND(K36/(1-N36/100),1))</f>
        <v/>
      </c>
      <c r="Q36">
        <f>IF(L36="","",ROUND(L36/(1-N36/100),1))</f>
        <v/>
      </c>
      <c r="R36">
        <f>IF(M36="","",ROUND(M36/(1-N36/100),1))</f>
        <v/>
      </c>
      <c r="S36" s="49" t="inlineStr">
        <is>
          <t>Дегідратовані протеїни м'яса птиці (L.I.P.), рослинна клітковина, рис, пшеничний глютен (L.I.P.), кукурудзяне борошно, гідролізат білків тваринного походження, кукурудзяний глютен, тваринні жири, мінеральні речовини, риб'ячий жир, соєва олія, оболонка та насіння подорожника, фруктоолігосахариди</t>
        </is>
      </c>
      <c r="T36" s="49" t="inlineStr">
        <is>
          <t>дегідратовані протеїни м'яса птиці (L.I.P.)</t>
        </is>
      </c>
      <c r="U36" s="49" t="inlineStr">
        <is>
          <t>рослинна клітковина</t>
        </is>
      </c>
      <c r="V36" s="49" t="inlineStr">
        <is>
          <t>рис</t>
        </is>
      </c>
      <c r="W36" s="49" t="n">
        <v>25000</v>
      </c>
      <c r="X36" s="49" t="n">
        <v>1000</v>
      </c>
      <c r="Y36" s="49" t="n"/>
      <c r="Z36" s="49" t="n"/>
      <c r="AA36" s="49" t="n"/>
      <c r="AB36" s="49" t="n"/>
      <c r="AC36" s="49" t="n"/>
      <c r="AD36" s="49" t="n"/>
      <c r="AE36" s="49" t="n"/>
      <c r="AF36" s="49" t="n">
        <v>133</v>
      </c>
      <c r="AG36" s="49" t="inlineStr">
        <is>
          <t>оксид цинку / сульфат цинку</t>
        </is>
      </c>
      <c r="AH36" s="49" t="n"/>
      <c r="AI36" s="49" t="n"/>
      <c r="AJ36" s="49" t="n"/>
      <c r="AK36">
        <f>IF(AF36="","",IF(AH36="",IFERROR(VLOOKUP(AG36,Довідник_мінералів!$A:$B,2,0),"-"),ROUND(IFERROR(VLOOKUP(AG36,Довідник_мінералів!$A:$B,2,0),0)*AH36/100+IFERROR(VLOOKUP(AI36,Довідник_мінералів!$A:$B,2,0),0)*AJ36/100,0)))</f>
        <v/>
      </c>
      <c r="AL36" s="49" t="n">
        <v>33</v>
      </c>
      <c r="AM36" s="49" t="inlineStr">
        <is>
          <t>сульфат заліза(II)</t>
        </is>
      </c>
      <c r="AN36" s="49" t="n"/>
      <c r="AQ36">
        <f>IF(AL36="","",IF(AN36="",IFERROR(VLOOKUP(AM36,Довідник_мінералів!$A:$B,2,0),"-"),ROUND(IFERROR(VLOOKUP(AM36,Довідник_мінералів!$A:$B,2,0),0)*AN36/100+IFERROR(VLOOKUP(AO36,Довідник_мінералів!$A:$B,2,0),0)*AP36/100,0)))</f>
        <v/>
      </c>
      <c r="AR36" s="49" t="n">
        <v>10</v>
      </c>
      <c r="AS36" s="49" t="inlineStr">
        <is>
          <t>сульфат міді</t>
        </is>
      </c>
      <c r="AU36">
        <f>IF(AR36="","",IFERROR(VLOOKUP(AS36,Довідник_мінералів!$A:$B,2,0),"-"))</f>
        <v/>
      </c>
      <c r="AV36" s="49" t="n">
        <v>43</v>
      </c>
      <c r="AW36" s="49" t="inlineStr">
        <is>
          <t>оксид марганцю</t>
        </is>
      </c>
      <c r="AY36">
        <f>IF(AV36="","",IFERROR(VLOOKUP(AW36,Довідник_мінералів!$A:$B,2,0),"-"))</f>
        <v/>
      </c>
      <c r="AZ36" s="49" t="n">
        <v>0.05</v>
      </c>
      <c r="BA36" s="49" t="inlineStr">
        <is>
          <t>селеніт натрію</t>
        </is>
      </c>
      <c r="BB36">
        <f>IF(SE36="","",IFERROR(VLOOKUP(BA36,Довідник_мінералів!$A:$B,2,0),"-"))</f>
        <v/>
      </c>
      <c r="BC36" s="49" t="n">
        <v>3.3</v>
      </c>
      <c r="BD36" s="49" t="inlineStr">
        <is>
          <t>ДУЖЕ ВИСОКА клітковина 14.6%; S/O index; Омега-3 0.39%; Омега-6 1.84%</t>
        </is>
      </c>
    </row>
    <row r="37" ht="35" customHeight="1">
      <c r="A37" s="46" t="inlineStr">
        <is>
          <t>rc_mini_puppy_dry_dog</t>
        </is>
      </c>
      <c r="B37" s="46" t="inlineStr">
        <is>
          <t>Royal Canin</t>
        </is>
      </c>
      <c r="C37" s="46" t="inlineStr">
        <is>
          <t>Mini Puppy</t>
        </is>
      </c>
      <c r="D37" s="46" t="inlineStr">
        <is>
          <t>Mini Puppy (сухий)</t>
        </is>
      </c>
      <c r="E37" s="46" t="inlineStr">
        <is>
          <t>сухий</t>
        </is>
      </c>
      <c r="F37" s="46" t="inlineStr">
        <is>
          <t>собака</t>
        </is>
      </c>
      <c r="G37" s="46" t="inlineStr">
        <is>
          <t>цуценята малих порід до 10 міс</t>
        </is>
      </c>
      <c r="H37" s="46" t="n">
        <v>407</v>
      </c>
      <c r="I37" s="46" t="inlineStr">
        <is>
          <t>https://www.royalcanin.com/ua/dogs/products/retail-products/mini-puppy-dry</t>
        </is>
      </c>
      <c r="J37" s="46" t="n">
        <v>31</v>
      </c>
      <c r="K37" s="46" t="n">
        <v>20</v>
      </c>
      <c r="L37" s="46" t="n">
        <v>1.4</v>
      </c>
      <c r="M37" s="46" t="n">
        <v>7.7</v>
      </c>
      <c r="N37" s="46" t="n">
        <v>9.5</v>
      </c>
      <c r="O37">
        <f>IF(J37="","",ROUND(J37/(1-N37/100),1))</f>
        <v/>
      </c>
      <c r="P37">
        <f>IF(K37="","",ROUND(K37/(1-N37/100),1))</f>
        <v/>
      </c>
      <c r="Q37">
        <f>IF(L37="","",ROUND(L37/(1-N37/100),1))</f>
        <v/>
      </c>
      <c r="R37">
        <f>IF(M37="","",ROUND(M37/(1-N37/100),1))</f>
        <v/>
      </c>
      <c r="S37" s="46" t="inlineStr">
        <is>
          <t>Дегідратовані протеїни м'яса птиці, рис, тваринні жири, ізолят рослинних протеїнів (L.I.P.), кукурудза, буряковий жом, кукурудзяне борошно, гідролізат білків тваринного походження, кукурудзяний глютен, мінеральні речовини, риб'ячий жир, соєва олія, фруктоолігосахариди, гідролізат дріжджів (МОС та бета-глюкани), олія водоростей Шізохітріум (ДГК)</t>
        </is>
      </c>
      <c r="T37" s="46" t="inlineStr">
        <is>
          <t>дегідратовані протеїни м'яса птиці</t>
        </is>
      </c>
      <c r="U37" s="46" t="inlineStr">
        <is>
          <t>ізолят рослинних протеїнів (L.I.P.)</t>
        </is>
      </c>
      <c r="V37" s="46" t="inlineStr">
        <is>
          <t>кукурудза</t>
        </is>
      </c>
      <c r="W37" s="46" t="n">
        <v>21500</v>
      </c>
      <c r="X37" s="46" t="n">
        <v>1000</v>
      </c>
      <c r="Y37" s="46" t="n">
        <v>510</v>
      </c>
      <c r="Z37" s="46" t="n"/>
      <c r="AA37" s="46" t="n"/>
      <c r="AF37" s="46" t="n">
        <v>126</v>
      </c>
      <c r="AG37" s="46" t="inlineStr">
        <is>
          <t>оксид цинку / сульфат цинку</t>
        </is>
      </c>
      <c r="AK37">
        <f>IF(AF37="","",IF(AH37="",IFERROR(VLOOKUP(AG37,Довідник_мінералів!$A:$B,2,0),"-"),ROUND(IFERROR(VLOOKUP(AG37,Довідник_мінералів!$A:$B,2,0),0)*AH37/100+IFERROR(VLOOKUP(AI37,Довідник_мінералів!$A:$B,2,0),0)*AJ37/100,0)))</f>
        <v/>
      </c>
      <c r="AL37" s="46" t="n">
        <v>38</v>
      </c>
      <c r="AM37" s="46" t="inlineStr">
        <is>
          <t>сульфат заліза(II)</t>
        </is>
      </c>
      <c r="AQ37">
        <f>IF(AL37="","",IF(AN37="",IFERROR(VLOOKUP(AM37,Довідник_мінералів!$A:$B,2,0),"-"),ROUND(IFERROR(VLOOKUP(AM37,Довідник_мінералів!$A:$B,2,0),0)*AN37/100+IFERROR(VLOOKUP(AO37,Довідник_мінералів!$A:$B,2,0),0)*AP37/100,0)))</f>
        <v/>
      </c>
      <c r="AR37" s="46" t="n">
        <v>12</v>
      </c>
      <c r="AS37" s="46" t="inlineStr">
        <is>
          <t>сульфат міді</t>
        </is>
      </c>
      <c r="AU37">
        <f>IF(AR37="","",IFERROR(VLOOKUP(AS37,Довідник_мінералів!$A:$B,2,0),"-"))</f>
        <v/>
      </c>
      <c r="AV37" s="46" t="n">
        <v>49</v>
      </c>
      <c r="AW37" s="46" t="inlineStr">
        <is>
          <t>оксид марганцю</t>
        </is>
      </c>
      <c r="AY37">
        <f>IF(AV37="","",IFERROR(VLOOKUP(AW37,Довідник_мінералів!$A:$B,2,0),"-"))</f>
        <v/>
      </c>
      <c r="AZ37" s="46" t="n">
        <v>0.06</v>
      </c>
      <c r="BA37" s="46" t="inlineStr">
        <is>
          <t>селеніт натрію</t>
        </is>
      </c>
      <c r="BB37">
        <f>IF(SE37="","",IFERROR(VLOOKUP(BA37,Довідник_мінералів!$A:$B,2,0),"-"))</f>
        <v/>
      </c>
      <c r="BC37" s="46" t="n"/>
      <c r="BD37" s="46" t="inlineStr">
        <is>
          <t>Ca 1.34%; P 1.02%; Mg 0.07%; Омега-3 0.78%; Омега-6 4.05%; ДГК з водоростей</t>
        </is>
      </c>
    </row>
    <row r="38" ht="35" customHeight="1">
      <c r="A38" s="50" t="inlineStr">
        <is>
          <t>rc_medium_puppy_dry_dog</t>
        </is>
      </c>
      <c r="B38" s="50" t="inlineStr">
        <is>
          <t>Royal Canin</t>
        </is>
      </c>
      <c r="C38" s="50" t="inlineStr">
        <is>
          <t>Medium Puppy</t>
        </is>
      </c>
      <c r="D38" s="50" t="inlineStr">
        <is>
          <t>Medium Puppy (сухий)</t>
        </is>
      </c>
      <c r="E38" s="50" t="inlineStr">
        <is>
          <t>сухий</t>
        </is>
      </c>
      <c r="F38" s="50" t="inlineStr">
        <is>
          <t>собака</t>
        </is>
      </c>
      <c r="G38" s="50" t="inlineStr">
        <is>
          <t>цуценята середніх порід до 12 міс</t>
        </is>
      </c>
      <c r="H38" s="50" t="n"/>
      <c r="I38" s="50" t="inlineStr">
        <is>
          <t>https://www.royalcanin.com/ua/dogs/products/retail-products/medium-puppy-dry</t>
        </is>
      </c>
      <c r="J38" s="50" t="n">
        <v>32</v>
      </c>
      <c r="K38" s="50" t="n">
        <v>20</v>
      </c>
      <c r="L38" s="50" t="n">
        <v>1.7</v>
      </c>
      <c r="M38" s="50" t="n">
        <v>8</v>
      </c>
      <c r="N38" s="50" t="n">
        <v>8</v>
      </c>
      <c r="O38">
        <f>IF(J38="","",ROUND(J38/(1-N38/100),1))</f>
        <v/>
      </c>
      <c r="P38">
        <f>IF(K38="","",ROUND(K38/(1-N38/100),1))</f>
        <v/>
      </c>
      <c r="Q38">
        <f>IF(L38="","",ROUND(L38/(1-N38/100),1))</f>
        <v/>
      </c>
      <c r="R38">
        <f>IF(M38="","",ROUND(M38/(1-N38/100),1))</f>
        <v/>
      </c>
      <c r="S38" s="50" t="inlineStr">
        <is>
          <t>Дегідратовані протеїни м'яса птиці, кукурудза, тваринні жири, буряковий жом, ізолят рослинних протеїнів (L.I.P.), кукурудзяний глютен, дегідратовані протеїни свинини (L.I.P.), рис, пшеничне борошно, гідролізат білків тваринного походження, пшениця, кукурудзяне борошно, мінеральні речовини, риб'ячий жир, соєва олія, дріжджі та їх частки, фруктоолігосахариди, гідролізат дріжджів (МОС та бета-глюкани), олія водоростей Шізохітріум (ДГК)</t>
        </is>
      </c>
      <c r="T38" s="50" t="inlineStr">
        <is>
          <t>дегідратовані протеїни м'яса птиці</t>
        </is>
      </c>
      <c r="U38" s="50" t="inlineStr">
        <is>
          <t>кукурудза</t>
        </is>
      </c>
      <c r="V38" s="50" t="inlineStr">
        <is>
          <t>ізолят рослинних протеїнів (L.I.P.)</t>
        </is>
      </c>
      <c r="W38" s="50" t="n">
        <v>16000</v>
      </c>
      <c r="X38" s="50" t="n">
        <v>1000</v>
      </c>
      <c r="Y38" s="50" t="n">
        <v>520</v>
      </c>
      <c r="Z38" s="50" t="n"/>
      <c r="AA38" s="50" t="n"/>
      <c r="AF38" s="50" t="n">
        <v>123</v>
      </c>
      <c r="AG38" s="50" t="inlineStr">
        <is>
          <t>оксид цинку / сульфат цинку</t>
        </is>
      </c>
      <c r="AK38">
        <f>IF(AF38="","",IF(AH38="",IFERROR(VLOOKUP(AG38,Довідник_мінералів!$A:$B,2,0),"-"),ROUND(IFERROR(VLOOKUP(AG38,Довідник_мінералів!$A:$B,2,0),0)*AH38/100+IFERROR(VLOOKUP(AI38,Довідник_мінералів!$A:$B,2,0),0)*AJ38/100,0)))</f>
        <v/>
      </c>
      <c r="AL38" s="50" t="n">
        <v>45</v>
      </c>
      <c r="AM38" s="50" t="inlineStr">
        <is>
          <t>сульфат заліза(II)</t>
        </is>
      </c>
      <c r="AQ38">
        <f>IF(AL38="","",IF(AN38="",IFERROR(VLOOKUP(AM38,Довідник_мінералів!$A:$B,2,0),"-"),ROUND(IFERROR(VLOOKUP(AM38,Довідник_мінералів!$A:$B,2,0),0)*AN38/100+IFERROR(VLOOKUP(AO38,Довідник_мінералів!$A:$B,2,0),0)*AP38/100,0)))</f>
        <v/>
      </c>
      <c r="AR38" s="50" t="n">
        <v>14</v>
      </c>
      <c r="AS38" s="50" t="inlineStr">
        <is>
          <t>сульфат міді</t>
        </is>
      </c>
      <c r="AU38">
        <f>IF(AR38="","",IFERROR(VLOOKUP(AS38,Довідник_мінералів!$A:$B,2,0),"-"))</f>
        <v/>
      </c>
      <c r="AV38" s="50" t="n">
        <v>59</v>
      </c>
      <c r="AW38" s="50" t="inlineStr">
        <is>
          <t>оксид марганцю</t>
        </is>
      </c>
      <c r="AY38">
        <f>IF(AV38="","",IFERROR(VLOOKUP(AW38,Довідник_мінералів!$A:$B,2,0),"-"))</f>
        <v/>
      </c>
      <c r="AZ38" s="50" t="n">
        <v>0.08</v>
      </c>
      <c r="BA38" s="50" t="inlineStr">
        <is>
          <t>селеніт натрію</t>
        </is>
      </c>
      <c r="BB38">
        <f>IF(SE38="","",IFERROR(VLOOKUP(BA38,Довідник_мінералів!$A:$B,2,0),"-"))</f>
        <v/>
      </c>
      <c r="BC38" s="50" t="n"/>
      <c r="BD38" s="50" t="inlineStr">
        <is>
          <t>Вітамін E 520 мг/кг; ДГК з водоростей; клиноптилоліт 10 г</t>
        </is>
      </c>
    </row>
    <row r="39" ht="35" customHeight="1">
      <c r="A39" s="46" t="inlineStr">
        <is>
          <t>rc_maxi_puppy_dry_dog</t>
        </is>
      </c>
      <c r="B39" s="46" t="inlineStr">
        <is>
          <t>Royal Canin</t>
        </is>
      </c>
      <c r="C39" s="46" t="inlineStr">
        <is>
          <t>Maxi Puppy</t>
        </is>
      </c>
      <c r="D39" s="46" t="inlineStr">
        <is>
          <t>Maxi Puppy (сухий)</t>
        </is>
      </c>
      <c r="E39" s="46" t="inlineStr">
        <is>
          <t>сухий</t>
        </is>
      </c>
      <c r="F39" s="46" t="inlineStr">
        <is>
          <t>собака</t>
        </is>
      </c>
      <c r="G39" s="46" t="inlineStr">
        <is>
          <t>цуценята великих порід до 15 міс</t>
        </is>
      </c>
      <c r="H39" s="46" t="n"/>
      <c r="I39" s="46" t="inlineStr">
        <is>
          <t>https://www.royalcanin.com/ua/dogs/products/retail-products/maxi-puppy-dry</t>
        </is>
      </c>
      <c r="J39" s="46" t="n">
        <v>30</v>
      </c>
      <c r="K39" s="46" t="n">
        <v>16</v>
      </c>
      <c r="L39" s="46" t="n">
        <v>2.6</v>
      </c>
      <c r="M39" s="46" t="n">
        <v>7.7</v>
      </c>
      <c r="N39" s="46" t="n">
        <v>9.5</v>
      </c>
      <c r="O39">
        <f>IF(J39="","",ROUND(J39/(1-N39/100),1))</f>
        <v/>
      </c>
      <c r="P39">
        <f>IF(K39="","",ROUND(K39/(1-N39/100),1))</f>
        <v/>
      </c>
      <c r="Q39">
        <f>IF(L39="","",ROUND(L39/(1-N39/100),1))</f>
        <v/>
      </c>
      <c r="R39">
        <f>IF(M39="","",ROUND(M39/(1-N39/100),1))</f>
        <v/>
      </c>
      <c r="S39" s="46" t="inlineStr">
        <is>
          <t>Дегідратовані протеїни м'яса птиці, кукурудза, тваринні жири, кукурудзяне борошно, дегідратовані протеїни свинини, рис, пшеничне борошно, буряковий жом, гідролізат білків тваринного походження, мінеральні речовини, риб'ячий жир, соєва олія, гідролізат із панцира ракоподібних (глюкозамін), гідролізат хрящовий (хондроїтин)</t>
        </is>
      </c>
      <c r="T39" s="46" t="inlineStr">
        <is>
          <t>дегідратовані протеїни м'яса птиці</t>
        </is>
      </c>
      <c r="U39" s="46" t="inlineStr">
        <is>
          <t>кукурудза</t>
        </is>
      </c>
      <c r="V39" s="46" t="inlineStr">
        <is>
          <t>дегідратовані протеїни свинини</t>
        </is>
      </c>
      <c r="W39" s="46" t="n">
        <v>16000</v>
      </c>
      <c r="X39" s="46" t="n">
        <v>1000</v>
      </c>
      <c r="Y39" s="46" t="n">
        <v>490</v>
      </c>
      <c r="Z39" s="46" t="n"/>
      <c r="AA39" s="46" t="n"/>
      <c r="AF39" s="46" t="n">
        <v>140</v>
      </c>
      <c r="AG39" s="46" t="inlineStr">
        <is>
          <t>оксид цинку / сульфат цинку</t>
        </is>
      </c>
      <c r="AK39">
        <f>IF(AF39="","",IF(AH39="",IFERROR(VLOOKUP(AG39,Довідник_мінералів!$A:$B,2,0),"-"),ROUND(IFERROR(VLOOKUP(AG39,Довідник_мінералів!$A:$B,2,0),0)*AH39/100+IFERROR(VLOOKUP(AI39,Довідник_мінералів!$A:$B,2,0),0)*AJ39/100,0)))</f>
        <v/>
      </c>
      <c r="AL39" s="46" t="n">
        <v>45</v>
      </c>
      <c r="AM39" s="46" t="inlineStr">
        <is>
          <t>сульфат заліза(II)</t>
        </is>
      </c>
      <c r="AQ39">
        <f>IF(AL39="","",IF(AN39="",IFERROR(VLOOKUP(AM39,Довідник_мінералів!$A:$B,2,0),"-"),ROUND(IFERROR(VLOOKUP(AM39,Довідник_мінералів!$A:$B,2,0),0)*AN39/100+IFERROR(VLOOKUP(AO39,Довідник_мінералів!$A:$B,2,0),0)*AP39/100,0)))</f>
        <v/>
      </c>
      <c r="AR39" s="46" t="n">
        <v>14</v>
      </c>
      <c r="AS39" s="46" t="inlineStr">
        <is>
          <t>сульфат міді</t>
        </is>
      </c>
      <c r="AU39">
        <f>IF(AR39="","",IFERROR(VLOOKUP(AS39,Довідник_мінералів!$A:$B,2,0),"-"))</f>
        <v/>
      </c>
      <c r="AV39" s="46" t="n">
        <v>59</v>
      </c>
      <c r="AW39" s="46" t="inlineStr">
        <is>
          <t>оксид марганцю</t>
        </is>
      </c>
      <c r="AY39">
        <f>IF(AV39="","",IFERROR(VLOOKUP(AW39,Довідник_мінералів!$A:$B,2,0),"-"))</f>
        <v/>
      </c>
      <c r="AZ39" s="46" t="n">
        <v>0.08</v>
      </c>
      <c r="BA39" s="46" t="inlineStr">
        <is>
          <t>селеніт натрію</t>
        </is>
      </c>
      <c r="BB39">
        <f>IF(SE39="","",IFERROR(VLOOKUP(BA39,Довідник_мінералів!$A:$B,2,0),"-"))</f>
        <v/>
      </c>
      <c r="BC39" s="46" t="n"/>
      <c r="BD39" s="46" t="inlineStr">
        <is>
          <t>Вітамін E 490 мг/кг; глюкозамін+хондроїтин; клиноптилоліт 10 г</t>
        </is>
      </c>
    </row>
    <row r="40" ht="35" customHeight="1">
      <c r="A40" s="50" t="inlineStr">
        <is>
          <t>rc_giant_puppy_dry_dog</t>
        </is>
      </c>
      <c r="B40" s="50" t="inlineStr">
        <is>
          <t>Royal Canin</t>
        </is>
      </c>
      <c r="C40" s="50" t="inlineStr">
        <is>
          <t>Giant Puppy</t>
        </is>
      </c>
      <c r="D40" s="50" t="inlineStr">
        <is>
          <t>Giant Puppy (сухий)</t>
        </is>
      </c>
      <c r="E40" s="50" t="inlineStr">
        <is>
          <t>сухий</t>
        </is>
      </c>
      <c r="F40" s="50" t="inlineStr">
        <is>
          <t>собака</t>
        </is>
      </c>
      <c r="G40" s="50" t="inlineStr">
        <is>
          <t>цуценята гігантських порід до 8 міс</t>
        </is>
      </c>
      <c r="H40" s="50" t="n"/>
      <c r="I40" s="50" t="inlineStr">
        <is>
          <t>https://www.royalcanin.com/ua/dogs/products/retail-products/giant-puppy-dry</t>
        </is>
      </c>
      <c r="J40" s="50" t="n">
        <v>34</v>
      </c>
      <c r="K40" s="50" t="n">
        <v>14</v>
      </c>
      <c r="L40" s="50" t="n">
        <v>1.3</v>
      </c>
      <c r="M40" s="50" t="n">
        <v>7.9</v>
      </c>
      <c r="N40" s="50" t="n">
        <v>9.5</v>
      </c>
      <c r="O40">
        <f>IF(J40="","",ROUND(J40/(1-N40/100),1))</f>
        <v/>
      </c>
      <c r="P40">
        <f>IF(K40="","",ROUND(K40/(1-N40/100),1))</f>
        <v/>
      </c>
      <c r="Q40">
        <f>IF(L40="","",ROUND(L40/(1-N40/100),1))</f>
        <v/>
      </c>
      <c r="R40">
        <f>IF(M40="","",ROUND(M40/(1-N40/100),1))</f>
        <v/>
      </c>
      <c r="S40" s="50" t="inlineStr">
        <is>
          <t>Дегідратовані протеїни м'яса птиці, пшеничний глютен (L.I.P.), рис, кукурудза, кукурудзяне борошно, тваринні жири, пшеничне борошно, буряковий жом, гідролізат протеїнів тваринного походження, мінеральні речовини, кукурудзяний глютен, соєва олія, дріжджові продукти, риб'ячий жир, фруктоолігосахариди, гідролізат дріжджів (МОС та бета-глюкани), олія водоростей Шізохітріум (ДГК), глюкозамін, гідролізат хрящовий (хондроїтин)</t>
        </is>
      </c>
      <c r="T40" s="50" t="inlineStr">
        <is>
          <t>дегідратовані протеїни м'яса птиці</t>
        </is>
      </c>
      <c r="U40" s="50" t="inlineStr">
        <is>
          <t>пшеничний глютен (L.I.P.)</t>
        </is>
      </c>
      <c r="V40" s="50" t="inlineStr">
        <is>
          <t>рис</t>
        </is>
      </c>
      <c r="W40" s="50" t="n"/>
      <c r="X40" s="50" t="n"/>
      <c r="Y40" s="50" t="n"/>
      <c r="Z40" s="50" t="n"/>
      <c r="AA40" s="50" t="n"/>
      <c r="AF40" s="50" t="n"/>
      <c r="AK40">
        <f>IF(AF40="","",IF(AH40="",IFERROR(VLOOKUP(AG40,Довідник_мінералів!$A:$B,2,0),"-"),ROUND(IFERROR(VLOOKUP(AG40,Довідник_мінералів!$A:$B,2,0),0)*AH40/100+IFERROR(VLOOKUP(AI40,Довідник_мінералів!$A:$B,2,0),0)*AJ40/100,0)))</f>
        <v/>
      </c>
      <c r="AL40" s="50" t="n"/>
      <c r="AQ40">
        <f>IF(AL40="","",IF(AN40="",IFERROR(VLOOKUP(AM40,Довідник_мінералів!$A:$B,2,0),"-"),ROUND(IFERROR(VLOOKUP(AM40,Довідник_мінералів!$A:$B,2,0),0)*AN40/100+IFERROR(VLOOKUP(AO40,Довідник_мінералів!$A:$B,2,0),0)*AP40/100,0)))</f>
        <v/>
      </c>
      <c r="AR40" s="50" t="n"/>
      <c r="AU40">
        <f>IF(AR40="","",IFERROR(VLOOKUP(AS40,Довідник_мінералів!$A:$B,2,0),"-"))</f>
        <v/>
      </c>
      <c r="AV40" s="50" t="n"/>
      <c r="AY40">
        <f>IF(AV40="","",IFERROR(VLOOKUP(AW40,Довідник_мінералів!$A:$B,2,0),"-"))</f>
        <v/>
      </c>
      <c r="AZ40" s="50" t="n"/>
      <c r="BB40">
        <f>IF(SE40="","",IFERROR(VLOOKUP(BA40,Довідник_мінералів!$A:$B,2,0),"-"))</f>
        <v/>
      </c>
      <c r="BC40" s="50" t="n"/>
      <c r="BD40" s="50" t="inlineStr">
        <is>
          <t>Контрольована калорійність для запобігання ожирінню; ДГК з водоростей; глюкозамін+хондроїтин</t>
        </is>
      </c>
    </row>
    <row r="41" ht="35" customHeight="1">
      <c r="A41" s="46" t="inlineStr">
        <is>
          <t>rc_mini_adult_dry_dog</t>
        </is>
      </c>
      <c r="B41" s="46" t="inlineStr">
        <is>
          <t>Royal Canin</t>
        </is>
      </c>
      <c r="C41" s="46" t="inlineStr">
        <is>
          <t>Mini Adult</t>
        </is>
      </c>
      <c r="D41" s="46" t="inlineStr">
        <is>
          <t>Mini Adult (сухий)</t>
        </is>
      </c>
      <c r="E41" s="46" t="inlineStr">
        <is>
          <t>сухий</t>
        </is>
      </c>
      <c r="F41" s="46" t="inlineStr">
        <is>
          <t>собака</t>
        </is>
      </c>
      <c r="G41" s="46" t="inlineStr">
        <is>
          <t>дорослі до 10 кг (10 міс - 12 років)</t>
        </is>
      </c>
      <c r="H41" s="46" t="n"/>
      <c r="I41" s="46" t="inlineStr">
        <is>
          <t>https://www.royalcanin.com/ua/dogs/products/retail-products/mini-adult-3001</t>
        </is>
      </c>
      <c r="J41" s="46" t="n">
        <v>27</v>
      </c>
      <c r="K41" s="46" t="n">
        <v>16</v>
      </c>
      <c r="L41" s="46" t="n">
        <v>1.7</v>
      </c>
      <c r="M41" s="46" t="n">
        <v>6.8</v>
      </c>
      <c r="N41" s="46" t="n">
        <v>9.5</v>
      </c>
      <c r="O41">
        <f>IF(J41="","",ROUND(J41/(1-N41/100),1))</f>
        <v/>
      </c>
      <c r="P41">
        <f>IF(K41="","",ROUND(K41/(1-N41/100),1))</f>
        <v/>
      </c>
      <c r="Q41">
        <f>IF(L41="","",ROUND(L41/(1-N41/100),1))</f>
        <v/>
      </c>
      <c r="R41">
        <f>IF(M41="","",ROUND(M41/(1-N41/100),1))</f>
        <v/>
      </c>
      <c r="S41" s="46" t="inlineStr">
        <is>
          <t>Пшеничне борошно, дегідратовані протеїни свійської птиці, кукурудзяне борошно, тваринні жири, гідролізовані протеїни тваринного походження, дегідратовані протеїни яловичини та свинини, ячмінь, кукурудза, кукурудзяний глютен, пшениця, мінеральні речовини, буряковий жом, соєва олія, дріжджові продукти, фруктоолігосахариди, риб'ячий жир, олія водоростей Шізохітріум</t>
        </is>
      </c>
      <c r="T41" s="46" t="inlineStr">
        <is>
          <t>дегідратовані протеїни свійської птиці</t>
        </is>
      </c>
      <c r="U41" s="46" t="inlineStr">
        <is>
          <t>дегідратовані протеїни яловичини та свинини</t>
        </is>
      </c>
      <c r="V41" s="46" t="inlineStr">
        <is>
          <t>ячмінь</t>
        </is>
      </c>
      <c r="W41" s="46" t="n">
        <v>15800</v>
      </c>
      <c r="X41" s="46" t="n">
        <v>1000</v>
      </c>
      <c r="Y41" s="46" t="n"/>
      <c r="Z41" s="46" t="n"/>
      <c r="AA41" s="46" t="n"/>
      <c r="AF41" s="46" t="n">
        <v>131</v>
      </c>
      <c r="AG41" s="46" t="inlineStr">
        <is>
          <t>оксид цинку / сульфат цинку</t>
        </is>
      </c>
      <c r="AK41">
        <f>IF(AF41="","",IF(AH41="",IFERROR(VLOOKUP(AG41,Довідник_мінералів!$A:$B,2,0),"-"),ROUND(IFERROR(VLOOKUP(AG41,Довідник_мінералів!$A:$B,2,0),0)*AH41/100+IFERROR(VLOOKUP(AI41,Довідник_мінералів!$A:$B,2,0),0)*AJ41/100,0)))</f>
        <v/>
      </c>
      <c r="AL41" s="46" t="n">
        <v>36</v>
      </c>
      <c r="AM41" s="46" t="inlineStr">
        <is>
          <t>сульфат заліза(II)</t>
        </is>
      </c>
      <c r="AQ41">
        <f>IF(AL41="","",IF(AN41="",IFERROR(VLOOKUP(AM41,Довідник_мінералів!$A:$B,2,0),"-"),ROUND(IFERROR(VLOOKUP(AM41,Довідник_мінералів!$A:$B,2,0),0)*AN41/100+IFERROR(VLOOKUP(AO41,Довідник_мінералів!$A:$B,2,0),0)*AP41/100,0)))</f>
        <v/>
      </c>
      <c r="AR41" s="46" t="n">
        <v>11</v>
      </c>
      <c r="AS41" s="46" t="inlineStr">
        <is>
          <t>сульфат міді</t>
        </is>
      </c>
      <c r="AU41">
        <f>IF(AR41="","",IFERROR(VLOOKUP(AS41,Довідник_мінералів!$A:$B,2,0),"-"))</f>
        <v/>
      </c>
      <c r="AV41" s="46" t="n">
        <v>47</v>
      </c>
      <c r="AW41" s="46" t="inlineStr">
        <is>
          <t>оксид марганцю</t>
        </is>
      </c>
      <c r="AY41">
        <f>IF(AV41="","",IFERROR(VLOOKUP(AW41,Довідник_мінералів!$A:$B,2,0),"-"))</f>
        <v/>
      </c>
      <c r="AZ41" s="46" t="n">
        <v>0.09</v>
      </c>
      <c r="BA41" s="46" t="inlineStr">
        <is>
          <t>селеніт натрію</t>
        </is>
      </c>
      <c r="BB41">
        <f>IF(SE41="","",IFERROR(VLOOKUP(BA41,Довідник_мінералів!$A:$B,2,0),"-"))</f>
        <v/>
      </c>
      <c r="BC41" s="46" t="n"/>
      <c r="BD41" s="46" t="inlineStr">
        <is>
          <t>L-карнітин; ДГК з водоростей; ЕПК/ДГК 2.5 г/кг</t>
        </is>
      </c>
    </row>
    <row r="42" ht="35" customHeight="1">
      <c r="A42" s="50" t="inlineStr">
        <is>
          <t>rc_medium_adult_dry_dog</t>
        </is>
      </c>
      <c r="B42" s="50" t="inlineStr">
        <is>
          <t>Royal Canin</t>
        </is>
      </c>
      <c r="C42" s="50" t="inlineStr">
        <is>
          <t>Medium Adult</t>
        </is>
      </c>
      <c r="D42" s="50" t="inlineStr">
        <is>
          <t>Medium Adult (сухий)</t>
        </is>
      </c>
      <c r="E42" s="50" t="inlineStr">
        <is>
          <t>сухий</t>
        </is>
      </c>
      <c r="F42" s="50" t="inlineStr">
        <is>
          <t>собака</t>
        </is>
      </c>
      <c r="G42" s="50" t="inlineStr">
        <is>
          <t>дорослі 11-25 кг (12 міс - 7 років)</t>
        </is>
      </c>
      <c r="H42" s="50" t="n"/>
      <c r="I42" s="50" t="inlineStr">
        <is>
          <t>https://www.royalcanin.com/ua/dogs/products/retail-products/medium-adult-dry</t>
        </is>
      </c>
      <c r="J42" s="50" t="n">
        <v>25</v>
      </c>
      <c r="K42" s="50" t="n">
        <v>14</v>
      </c>
      <c r="L42" s="50" t="n">
        <v>1.3</v>
      </c>
      <c r="M42" s="50" t="n">
        <v>6.1</v>
      </c>
      <c r="N42" s="50" t="n">
        <v>9.5</v>
      </c>
      <c r="O42">
        <f>IF(J42="","",ROUND(J42/(1-N42/100),1))</f>
        <v/>
      </c>
      <c r="P42">
        <f>IF(K42="","",ROUND(K42/(1-N42/100),1))</f>
        <v/>
      </c>
      <c r="Q42">
        <f>IF(L42="","",ROUND(L42/(1-N42/100),1))</f>
        <v/>
      </c>
      <c r="R42">
        <f>IF(M42="","",ROUND(M42/(1-N42/100),1))</f>
        <v/>
      </c>
      <c r="S42" s="50" t="inlineStr">
        <is>
          <t>Дегідратовані протеїни м'яса птиці (L.I.P.), кукурудзяне борошно, кукурудза, пшеничне борошно, тваринні жири, дегідратовані протеїни свинини (L.I.P.), пшениця, гідролізат білків тваринного походження, буряковий жом, риб'ячий жир, мінеральні речовини, соєва олія, дріжджі та їх частки, гідролізат дріжджів (МОС 0.05%)</t>
        </is>
      </c>
      <c r="T42" s="50" t="inlineStr">
        <is>
          <t>дегідратовані протеїни м'яса птиці (L.I.P.)</t>
        </is>
      </c>
      <c r="U42" s="50" t="inlineStr">
        <is>
          <t>кукурудза</t>
        </is>
      </c>
      <c r="V42" s="50" t="inlineStr">
        <is>
          <t>дегідратовані протеїни свинини (L.I.P.)</t>
        </is>
      </c>
      <c r="W42" s="50" t="n">
        <v>12500</v>
      </c>
      <c r="X42" s="50" t="n">
        <v>800</v>
      </c>
      <c r="Y42" s="50" t="n"/>
      <c r="Z42" s="50" t="n"/>
      <c r="AA42" s="50" t="n"/>
      <c r="AF42" s="50" t="n">
        <v>133</v>
      </c>
      <c r="AG42" s="50" t="inlineStr">
        <is>
          <t>оксид цинку / сульфат цинку</t>
        </is>
      </c>
      <c r="AK42">
        <f>IF(AF42="","",IF(AH42="",IFERROR(VLOOKUP(AG42,Довідник_мінералів!$A:$B,2,0),"-"),ROUND(IFERROR(VLOOKUP(AG42,Довідник_мінералів!$A:$B,2,0),0)*AH42/100+IFERROR(VLOOKUP(AI42,Довідник_мінералів!$A:$B,2,0),0)*AJ42/100,0)))</f>
        <v/>
      </c>
      <c r="AL42" s="50" t="n">
        <v>43</v>
      </c>
      <c r="AM42" s="50" t="inlineStr">
        <is>
          <t>сульфат заліза(II)</t>
        </is>
      </c>
      <c r="AQ42">
        <f>IF(AL42="","",IF(AN42="",IFERROR(VLOOKUP(AM42,Довідник_мінералів!$A:$B,2,0),"-"),ROUND(IFERROR(VLOOKUP(AM42,Довідник_мінералів!$A:$B,2,0),0)*AN42/100+IFERROR(VLOOKUP(AO42,Довідник_мінералів!$A:$B,2,0),0)*AP42/100,0)))</f>
        <v/>
      </c>
      <c r="AR42" s="50" t="n">
        <v>13</v>
      </c>
      <c r="AS42" s="50" t="inlineStr">
        <is>
          <t>сульфат міді</t>
        </is>
      </c>
      <c r="AU42">
        <f>IF(AR42="","",IFERROR(VLOOKUP(AS42,Довідник_мінералів!$A:$B,2,0),"-"))</f>
        <v/>
      </c>
      <c r="AV42" s="50" t="n">
        <v>55</v>
      </c>
      <c r="AW42" s="50" t="inlineStr">
        <is>
          <t>оксид марганцю</t>
        </is>
      </c>
      <c r="AY42">
        <f>IF(AV42="","",IFERROR(VLOOKUP(AW42,Довідник_мінералів!$A:$B,2,0),"-"))</f>
        <v/>
      </c>
      <c r="AZ42" s="50" t="n">
        <v>0.11</v>
      </c>
      <c r="BA42" s="50" t="inlineStr">
        <is>
          <t>селеніт натрію</t>
        </is>
      </c>
      <c r="BB42">
        <f>IF(SE42="","",IFERROR(VLOOKUP(BA42,Довідник_мінералів!$A:$B,2,0),"-"))</f>
        <v/>
      </c>
      <c r="BC42" s="50" t="n"/>
      <c r="BD42" s="50" t="inlineStr">
        <is>
          <t>Омега-3 6.0 г/кг; ЕПК/ДГК 3.1 г/кг</t>
        </is>
      </c>
    </row>
    <row r="43" ht="35" customHeight="1">
      <c r="A43" s="46" t="inlineStr">
        <is>
          <t>rc_maxi_adult_dry_dog</t>
        </is>
      </c>
      <c r="B43" s="46" t="inlineStr">
        <is>
          <t>Royal Canin</t>
        </is>
      </c>
      <c r="C43" s="46" t="inlineStr">
        <is>
          <t>Maxi Adult</t>
        </is>
      </c>
      <c r="D43" s="46" t="inlineStr">
        <is>
          <t>Maxi Adult (сухий)</t>
        </is>
      </c>
      <c r="E43" s="46" t="inlineStr">
        <is>
          <t>сухий</t>
        </is>
      </c>
      <c r="F43" s="46" t="inlineStr">
        <is>
          <t>собака</t>
        </is>
      </c>
      <c r="G43" s="46" t="inlineStr">
        <is>
          <t>дорослі 26-45 кг (15 міс - 5 років)</t>
        </is>
      </c>
      <c r="H43" s="46" t="n"/>
      <c r="I43" s="46" t="inlineStr">
        <is>
          <t>https://www.royalcanin.com/ua/dogs/products/retail-products/maxi-adult-dry</t>
        </is>
      </c>
      <c r="J43" s="46" t="n">
        <v>26</v>
      </c>
      <c r="K43" s="46" t="n">
        <v>17</v>
      </c>
      <c r="L43" s="46" t="n">
        <v>1.2</v>
      </c>
      <c r="M43" s="46" t="n">
        <v>6.6</v>
      </c>
      <c r="N43" s="46" t="n">
        <v>9.5</v>
      </c>
      <c r="O43">
        <f>IF(J43="","",ROUND(J43/(1-N43/100),1))</f>
        <v/>
      </c>
      <c r="P43">
        <f>IF(K43="","",ROUND(K43/(1-N43/100),1))</f>
        <v/>
      </c>
      <c r="Q43">
        <f>IF(L43="","",ROUND(L43/(1-N43/100),1))</f>
        <v/>
      </c>
      <c r="R43">
        <f>IF(M43="","",ROUND(M43/(1-N43/100),1))</f>
        <v/>
      </c>
      <c r="S43" s="46" t="inlineStr">
        <is>
          <t>Дегідратовані протеїни м'яса птиці, кукурудза, кукурудзяне борошно, тваринні жири, пшениця, дегідратовані протеїни свинини, рис, гідролізат білків тваринного походження, кукурудзяний глютен, буряковий жом, мінеральні речовини, риб'ячий жир, соєва олія, дріжджі та їх частки, гідролізат із панцира ракоподібних (глюкозамін), гідролізат хрящовий (хондроїтин)</t>
        </is>
      </c>
      <c r="T43" s="46" t="inlineStr">
        <is>
          <t>дегідратовані протеїни м'яса птиці</t>
        </is>
      </c>
      <c r="U43" s="46" t="inlineStr">
        <is>
          <t>кукурудза</t>
        </is>
      </c>
      <c r="V43" s="46" t="inlineStr">
        <is>
          <t>дегідратовані протеїни свинини</t>
        </is>
      </c>
      <c r="W43" s="46" t="n">
        <v>16000</v>
      </c>
      <c r="X43" s="46" t="n">
        <v>1000</v>
      </c>
      <c r="Y43" s="46" t="n"/>
      <c r="Z43" s="46" t="n"/>
      <c r="AA43" s="46" t="n"/>
      <c r="AF43" s="46" t="n">
        <v>129</v>
      </c>
      <c r="AG43" s="46" t="inlineStr">
        <is>
          <t>оксид цинку / сульфат цинку</t>
        </is>
      </c>
      <c r="AK43">
        <f>IF(AF43="","",IF(AH43="",IFERROR(VLOOKUP(AG43,Довідник_мінералів!$A:$B,2,0),"-"),ROUND(IFERROR(VLOOKUP(AG43,Довідник_мінералів!$A:$B,2,0),0)*AH43/100+IFERROR(VLOOKUP(AI43,Довідник_мінералів!$A:$B,2,0),0)*AJ43/100,0)))</f>
        <v/>
      </c>
      <c r="AL43" s="46" t="n">
        <v>35</v>
      </c>
      <c r="AM43" s="46" t="inlineStr">
        <is>
          <t>сульфат заліза(II)</t>
        </is>
      </c>
      <c r="AQ43">
        <f>IF(AL43="","",IF(AN43="",IFERROR(VLOOKUP(AM43,Довідник_мінералів!$A:$B,2,0),"-"),ROUND(IFERROR(VLOOKUP(AM43,Довідник_мінералів!$A:$B,2,0),0)*AN43/100+IFERROR(VLOOKUP(AO43,Довідник_мінералів!$A:$B,2,0),0)*AP43/100,0)))</f>
        <v/>
      </c>
      <c r="AR43" s="46" t="n">
        <v>11</v>
      </c>
      <c r="AS43" s="46" t="inlineStr">
        <is>
          <t>сульфат міді</t>
        </is>
      </c>
      <c r="AU43">
        <f>IF(AR43="","",IFERROR(VLOOKUP(AS43,Довідник_мінералів!$A:$B,2,0),"-"))</f>
        <v/>
      </c>
      <c r="AV43" s="46" t="n">
        <v>45</v>
      </c>
      <c r="AW43" s="46" t="inlineStr">
        <is>
          <t>оксид марганцю</t>
        </is>
      </c>
      <c r="AY43">
        <f>IF(AV43="","",IFERROR(VLOOKUP(AW43,Довідник_мінералів!$A:$B,2,0),"-"))</f>
        <v/>
      </c>
      <c r="AZ43" s="46" t="n">
        <v>0.05</v>
      </c>
      <c r="BA43" s="46" t="inlineStr">
        <is>
          <t>селеніт натрію</t>
        </is>
      </c>
      <c r="BB43">
        <f>IF(SE43="","",IFERROR(VLOOKUP(BA43,Довідник_мінералів!$A:$B,2,0),"-"))</f>
        <v/>
      </c>
      <c r="BC43" s="46" t="n"/>
      <c r="BD43" s="46" t="inlineStr">
        <is>
          <t>Омега-3 7.7 г/кг; ЕПК/ДГК 4 г/кг; глюкозамін+хондроїтин; клиноптилоліт 5 г</t>
        </is>
      </c>
    </row>
    <row r="44" ht="35" customHeight="1">
      <c r="A44" s="50" t="inlineStr">
        <is>
          <t>rc_mini_adult8plus_dry_dog</t>
        </is>
      </c>
      <c r="B44" s="50" t="inlineStr">
        <is>
          <t>Royal Canin</t>
        </is>
      </c>
      <c r="C44" s="50" t="inlineStr">
        <is>
          <t>Mini Adult 8+</t>
        </is>
      </c>
      <c r="D44" s="50" t="inlineStr">
        <is>
          <t>Mini Adult 8+ (сухий)</t>
        </is>
      </c>
      <c r="E44" s="50" t="inlineStr">
        <is>
          <t>сухий</t>
        </is>
      </c>
      <c r="F44" s="50" t="inlineStr">
        <is>
          <t>собака</t>
        </is>
      </c>
      <c r="G44" s="50" t="inlineStr">
        <is>
          <t>дорослі до 10 кг (8+ років)</t>
        </is>
      </c>
      <c r="H44" s="50" t="n"/>
      <c r="I44" s="50" t="inlineStr">
        <is>
          <t>https://www.royalcanin.com/ua/dogs/products/retail-products/mini-adult-8-dry</t>
        </is>
      </c>
      <c r="J44" s="50" t="n">
        <v>25</v>
      </c>
      <c r="K44" s="50" t="n">
        <v>14</v>
      </c>
      <c r="L44" s="50" t="n">
        <v>5.5</v>
      </c>
      <c r="M44" s="50" t="n">
        <v>6.7</v>
      </c>
      <c r="N44" s="50" t="n">
        <v>9.5</v>
      </c>
      <c r="O44">
        <f>IF(J44="","",ROUND(J44/(1-N44/100),1))</f>
        <v/>
      </c>
      <c r="P44">
        <f>IF(K44="","",ROUND(K44/(1-N44/100),1))</f>
        <v/>
      </c>
      <c r="Q44">
        <f>IF(L44="","",ROUND(L44/(1-N44/100),1))</f>
        <v/>
      </c>
      <c r="R44">
        <f>IF(M44="","",ROUND(M44/(1-N44/100),1))</f>
        <v/>
      </c>
      <c r="S44" s="50" t="inlineStr">
        <is>
          <t>Дегідратовані протеїни м'яса птиці (L.I.P.), рис, кукурудза, тваринні жири, кукурудзяне борошно, гідролізат білків тваринного походження, кукурудзяний глютен, мінеральні речовини, рослинна клітковина, буряковий жом, риб'ячий жир, соєва олія, дріжджі та їх частки, фруктоолігосахариди, гідролізат дріжджів (МОС), гідролізат із панцира ракоподібних (глюкозамін), гідролізат хрящовий (хондроїтин)</t>
        </is>
      </c>
      <c r="T44" s="50" t="inlineStr">
        <is>
          <t>дегідратовані протеїни м'яса птиці (L.I.P.)</t>
        </is>
      </c>
      <c r="U44" s="50" t="inlineStr">
        <is>
          <t>рис</t>
        </is>
      </c>
      <c r="V44" s="50" t="inlineStr">
        <is>
          <t>кукурудза</t>
        </is>
      </c>
      <c r="W44" s="50" t="n"/>
      <c r="X44" s="50" t="n"/>
      <c r="Y44" s="50" t="n"/>
      <c r="Z44" s="50" t="n"/>
      <c r="AA44" s="50" t="n"/>
      <c r="AF44" s="50" t="n"/>
      <c r="AK44">
        <f>IF(AF44="","",IF(AH44="",IFERROR(VLOOKUP(AG44,Довідник_мінералів!$A:$B,2,0),"-"),ROUND(IFERROR(VLOOKUP(AG44,Довідник_мінералів!$A:$B,2,0),0)*AH44/100+IFERROR(VLOOKUP(AI44,Довідник_мінералів!$A:$B,2,0),0)*AJ44/100,0)))</f>
        <v/>
      </c>
      <c r="AL44" s="50" t="n"/>
      <c r="AQ44">
        <f>IF(AL44="","",IF(AN44="",IFERROR(VLOOKUP(AM44,Довідник_мінералів!$A:$B,2,0),"-"),ROUND(IFERROR(VLOOKUP(AM44,Довідник_мінералів!$A:$B,2,0),0)*AN44/100+IFERROR(VLOOKUP(AO44,Довідник_мінералів!$A:$B,2,0),0)*AP44/100,0)))</f>
        <v/>
      </c>
      <c r="AR44" s="50" t="n"/>
      <c r="AU44">
        <f>IF(AR44="","",IFERROR(VLOOKUP(AS44,Довідник_мінералів!$A:$B,2,0),"-"))</f>
        <v/>
      </c>
      <c r="AV44" s="50" t="n"/>
      <c r="AY44">
        <f>IF(AV44="","",IFERROR(VLOOKUP(AW44,Довідник_мінералів!$A:$B,2,0),"-"))</f>
        <v/>
      </c>
      <c r="AZ44" s="50" t="n"/>
      <c r="BB44">
        <f>IF(SE44="","",IFERROR(VLOOKUP(BA44,Довідник_мінералів!$A:$B,2,0),"-"))</f>
        <v/>
      </c>
      <c r="BC44" s="50" t="n"/>
      <c r="BD44" s="50" t="inlineStr">
        <is>
          <t>Похилий вік малих порід; знижений фосфор; глюкозамін+хондроїтин</t>
        </is>
      </c>
    </row>
    <row r="45" ht="35" customHeight="1">
      <c r="A45" s="46" t="inlineStr">
        <is>
          <t>rc_medium_adult7plus_dry_dog</t>
        </is>
      </c>
      <c r="B45" s="46" t="inlineStr">
        <is>
          <t>Royal Canin</t>
        </is>
      </c>
      <c r="C45" s="46" t="inlineStr">
        <is>
          <t>Medium Adult 7+</t>
        </is>
      </c>
      <c r="D45" s="46" t="inlineStr">
        <is>
          <t>Medium Adult 7+ (сухий)</t>
        </is>
      </c>
      <c r="E45" s="46" t="inlineStr">
        <is>
          <t>сухий</t>
        </is>
      </c>
      <c r="F45" s="46" t="inlineStr">
        <is>
          <t>собака</t>
        </is>
      </c>
      <c r="G45" s="46" t="inlineStr">
        <is>
          <t>дорослі 11-25 кг (7+ років)</t>
        </is>
      </c>
      <c r="H45" s="46" t="n"/>
      <c r="I45" s="46" t="inlineStr">
        <is>
          <t>https://www.royalcanin.com/ua/dogs/products/retail-products/medium-adult-7-dry</t>
        </is>
      </c>
      <c r="J45" s="46" t="n">
        <v>25</v>
      </c>
      <c r="K45" s="46" t="n">
        <v>13</v>
      </c>
      <c r="L45" s="46" t="n">
        <v>4.7</v>
      </c>
      <c r="M45" s="46" t="n">
        <v>7</v>
      </c>
      <c r="N45" s="46" t="n">
        <v>9.5</v>
      </c>
      <c r="O45">
        <f>IF(J45="","",ROUND(J45/(1-N45/100),1))</f>
        <v/>
      </c>
      <c r="P45">
        <f>IF(K45="","",ROUND(K45/(1-N45/100),1))</f>
        <v/>
      </c>
      <c r="Q45">
        <f>IF(L45="","",ROUND(L45/(1-N45/100),1))</f>
        <v/>
      </c>
      <c r="R45">
        <f>IF(M45="","",ROUND(M45/(1-N45/100),1))</f>
        <v/>
      </c>
      <c r="S45" s="46" t="inlineStr">
        <is>
          <t>Дегідратовані протеїни м'яса птиці (L.I.P.), кукурудзяне борошно, кукурудза, рис, тваринні жири, дегідратовані протеїни свинини (L.I.P.), рослинна клітковина, гідролізат білків тваринного походження, буряковий жом, мінеральні речовини, риб'ячий жир, соєва олія, дріжджі, фруктоолігосахариди, гідролізат дріжджів (МОС), гідролізат із панцира ракоподібних (глюкозамін), гідролізат хрящовий (хондроїтин)</t>
        </is>
      </c>
      <c r="T45" s="46" t="inlineStr">
        <is>
          <t>дегідратовані протеїни м'яса птиці (L.I.P.)</t>
        </is>
      </c>
      <c r="U45" s="46" t="inlineStr">
        <is>
          <t>кукурудза</t>
        </is>
      </c>
      <c r="V45" s="46" t="inlineStr">
        <is>
          <t>дегідратовані протеїни свинини (L.I.P.)</t>
        </is>
      </c>
      <c r="W45" s="46" t="n"/>
      <c r="X45" s="46" t="n"/>
      <c r="Y45" s="46" t="n"/>
      <c r="Z45" s="46" t="n"/>
      <c r="AA45" s="46" t="n"/>
      <c r="AF45" s="46" t="n"/>
      <c r="AK45">
        <f>IF(AF45="","",IF(AH45="",IFERROR(VLOOKUP(AG45,Довідник_мінералів!$A:$B,2,0),"-"),ROUND(IFERROR(VLOOKUP(AG45,Довідник_мінералів!$A:$B,2,0),0)*AH45/100+IFERROR(VLOOKUP(AI45,Довідник_мінералів!$A:$B,2,0),0)*AJ45/100,0)))</f>
        <v/>
      </c>
      <c r="AL45" s="46" t="n"/>
      <c r="AQ45">
        <f>IF(AL45="","",IF(AN45="",IFERROR(VLOOKUP(AM45,Довідник_мінералів!$A:$B,2,0),"-"),ROUND(IFERROR(VLOOKUP(AM45,Довідник_мінералів!$A:$B,2,0),0)*AN45/100+IFERROR(VLOOKUP(AO45,Довідник_мінералів!$A:$B,2,0),0)*AP45/100,0)))</f>
        <v/>
      </c>
      <c r="AR45" s="46" t="n"/>
      <c r="AU45">
        <f>IF(AR45="","",IFERROR(VLOOKUP(AS45,Довідник_мінералів!$A:$B,2,0),"-"))</f>
        <v/>
      </c>
      <c r="AV45" s="46" t="n"/>
      <c r="AY45">
        <f>IF(AV45="","",IFERROR(VLOOKUP(AW45,Довідник_мінералів!$A:$B,2,0),"-"))</f>
        <v/>
      </c>
      <c r="AZ45" s="46" t="n"/>
      <c r="BB45">
        <f>IF(SE45="","",IFERROR(VLOOKUP(BA45,Довідник_мінералів!$A:$B,2,0),"-"))</f>
        <v/>
      </c>
      <c r="BC45" s="46" t="n"/>
      <c r="BD45" s="46" t="inlineStr">
        <is>
          <t>Похилий вік середніх порід; знижені Ca/P; глюкозамін+хондроїтин; вітамін C</t>
        </is>
      </c>
    </row>
    <row r="46" ht="35" customHeight="1">
      <c r="A46" s="50" t="inlineStr">
        <is>
          <t>rc_skin_coat_dry_dog</t>
        </is>
      </c>
      <c r="B46" s="50" t="inlineStr">
        <is>
          <t>Royal Canin</t>
        </is>
      </c>
      <c r="C46" s="50" t="inlineStr">
        <is>
          <t>Skin &amp; Coat</t>
        </is>
      </c>
      <c r="D46" s="50" t="inlineStr">
        <is>
          <t>Skin &amp; Coat Care (сухий)</t>
        </is>
      </c>
      <c r="E46" s="50" t="inlineStr">
        <is>
          <t>сухий</t>
        </is>
      </c>
      <c r="F46" s="50" t="inlineStr">
        <is>
          <t>собака</t>
        </is>
      </c>
      <c r="G46" s="50" t="inlineStr">
        <is>
          <t>шкіра та шерсть малих порід</t>
        </is>
      </c>
      <c r="H46" s="50" t="n"/>
      <c r="I46" s="50" t="inlineStr">
        <is>
          <t>https://www.royalcanin.com/ua/dogs/products/retail-products/skin-coat-care-dry</t>
        </is>
      </c>
      <c r="J46" s="50" t="n">
        <v>27</v>
      </c>
      <c r="K46" s="50" t="n">
        <v>18</v>
      </c>
      <c r="L46" s="50" t="n">
        <v>3</v>
      </c>
      <c r="M46" s="50" t="n">
        <v>6.2</v>
      </c>
      <c r="N46" s="50" t="n">
        <v>9.5</v>
      </c>
      <c r="O46">
        <f>IF(J46="","",ROUND(J46/(1-N46/100),1))</f>
        <v/>
      </c>
      <c r="P46">
        <f>IF(K46="","",ROUND(K46/(1-N46/100),1))</f>
        <v/>
      </c>
      <c r="Q46">
        <f>IF(L46="","",ROUND(L46/(1-N46/100),1))</f>
        <v/>
      </c>
      <c r="R46">
        <f>IF(M46="","",ROUND(M46/(1-N46/100),1))</f>
        <v/>
      </c>
      <c r="S46" s="50" t="inlineStr">
        <is>
          <t>Дегідратовані протеїни м'яса птиці (L.I.P.), рис, тваринні жири, кукурудзяне борошно, кукурудзяний глютен, гідролізат білків тваринного походження, мінеральні речовини, риб'ячий жир, кукурудза, соєва олія, буряковий жом, дріжджі та їх частки, фруктоолігосахариди, олія огірочника (GLA)</t>
        </is>
      </c>
      <c r="T46" s="50" t="inlineStr">
        <is>
          <t>дегідратовані протеїни м'яса птиці (L.I.P.)</t>
        </is>
      </c>
      <c r="U46" s="50" t="inlineStr">
        <is>
          <t>рис</t>
        </is>
      </c>
      <c r="V46" s="50" t="inlineStr">
        <is>
          <t>кукурудзяний глютен</t>
        </is>
      </c>
      <c r="W46" s="50" t="n"/>
      <c r="X46" s="50" t="n"/>
      <c r="Y46" s="50" t="n"/>
      <c r="Z46" s="50" t="n"/>
      <c r="AA46" s="50" t="n"/>
      <c r="AF46" s="50" t="n"/>
      <c r="AK46">
        <f>IF(AF46="","",IF(AH46="",IFERROR(VLOOKUP(AG46,Довідник_мінералів!$A:$B,2,0),"-"),ROUND(IFERROR(VLOOKUP(AG46,Довідник_мінералів!$A:$B,2,0),0)*AH46/100+IFERROR(VLOOKUP(AI46,Довідник_мінералів!$A:$B,2,0),0)*AJ46/100,0)))</f>
        <v/>
      </c>
      <c r="AL46" s="50" t="n"/>
      <c r="AQ46">
        <f>IF(AL46="","",IF(AN46="",IFERROR(VLOOKUP(AM46,Довідник_мінералів!$A:$B,2,0),"-"),ROUND(IFERROR(VLOOKUP(AM46,Довідник_мінералів!$A:$B,2,0),0)*AN46/100+IFERROR(VLOOKUP(AO46,Довідник_мінералів!$A:$B,2,0),0)*AP46/100,0)))</f>
        <v/>
      </c>
      <c r="AR46" s="50" t="n"/>
      <c r="AU46">
        <f>IF(AR46="","",IFERROR(VLOOKUP(AS46,Довідник_мінералів!$A:$B,2,0),"-"))</f>
        <v/>
      </c>
      <c r="AV46" s="50" t="n"/>
      <c r="AY46">
        <f>IF(AV46="","",IFERROR(VLOOKUP(AW46,Довідник_мінералів!$A:$B,2,0),"-"))</f>
        <v/>
      </c>
      <c r="AZ46" s="50" t="n"/>
      <c r="BB46">
        <f>IF(SE46="","",IFERROR(VLOOKUP(BA46,Довідник_мінералів!$A:$B,2,0),"-"))</f>
        <v/>
      </c>
      <c r="BC46" s="50" t="n"/>
      <c r="BD46" s="50" t="inlineStr">
        <is>
          <t>Омега-3/Омега-6 баланс; олія огірочника (GLA); ЕПК/ДГК</t>
        </is>
      </c>
    </row>
    <row r="47" ht="35" customHeight="1">
      <c r="A47" s="46" t="inlineStr">
        <is>
          <t>rc_digest_sensitive_dry_dog</t>
        </is>
      </c>
      <c r="B47" s="46" t="inlineStr">
        <is>
          <t>Royal Canin</t>
        </is>
      </c>
      <c r="C47" s="46" t="inlineStr">
        <is>
          <t>Digest Sensitive</t>
        </is>
      </c>
      <c r="D47" s="46" t="inlineStr">
        <is>
          <t>Digestive Care (сухий)</t>
        </is>
      </c>
      <c r="E47" s="46" t="inlineStr">
        <is>
          <t>сухий</t>
        </is>
      </c>
      <c r="F47" s="46" t="inlineStr">
        <is>
          <t>собака</t>
        </is>
      </c>
      <c r="G47" s="46" t="inlineStr">
        <is>
          <t>чутливе травлення малих порід</t>
        </is>
      </c>
      <c r="H47" s="46" t="n"/>
      <c r="I47" s="46" t="inlineStr">
        <is>
          <t>https://www.royalcanin.com/ua/dogs/products/retail-products/digestive-care-dry</t>
        </is>
      </c>
      <c r="J47" s="46" t="n">
        <v>26</v>
      </c>
      <c r="K47" s="46" t="n">
        <v>16</v>
      </c>
      <c r="L47" s="46" t="n">
        <v>3.6</v>
      </c>
      <c r="M47" s="46" t="n">
        <v>6.8</v>
      </c>
      <c r="N47" s="46" t="n">
        <v>9.5</v>
      </c>
      <c r="O47">
        <f>IF(J47="","",ROUND(J47/(1-N47/100),1))</f>
        <v/>
      </c>
      <c r="P47">
        <f>IF(K47="","",ROUND(K47/(1-N47/100),1))</f>
        <v/>
      </c>
      <c r="Q47">
        <f>IF(L47="","",ROUND(L47/(1-N47/100),1))</f>
        <v/>
      </c>
      <c r="R47">
        <f>IF(M47="","",ROUND(M47/(1-N47/100),1))</f>
        <v/>
      </c>
      <c r="S47" s="46" t="inlineStr">
        <is>
          <t>Дегідратовані протеїни м'яса птиці (L.I.P.), рис, тваринні жири, кукурудзяне борошно, гідролізат білків тваринного походження, кукурудзяний глютен, мінеральні речовини, буряковий жом, риб'ячий жир, соєва олія, дріжджі та їх частки, фруктоолігосахариди, гідролізат дріжджів (МОС)</t>
        </is>
      </c>
      <c r="T47" s="46" t="inlineStr">
        <is>
          <t>дегідратовані протеїни м'яса птиці (L.I.P.)</t>
        </is>
      </c>
      <c r="U47" s="46" t="inlineStr">
        <is>
          <t>рис</t>
        </is>
      </c>
      <c r="V47" s="46" t="inlineStr">
        <is>
          <t>гідролізат білків тваринного походження</t>
        </is>
      </c>
      <c r="W47" s="46" t="n"/>
      <c r="X47" s="46" t="n"/>
      <c r="Y47" s="46" t="n"/>
      <c r="Z47" s="46" t="n"/>
      <c r="AA47" s="46" t="n"/>
      <c r="AF47" s="46" t="n"/>
      <c r="AK47">
        <f>IF(AF47="","",IF(AH47="",IFERROR(VLOOKUP(AG47,Довідник_мінералів!$A:$B,2,0),"-"),ROUND(IFERROR(VLOOKUP(AG47,Довідник_мінералів!$A:$B,2,0),0)*AH47/100+IFERROR(VLOOKUP(AI47,Довідник_мінералів!$A:$B,2,0),0)*AJ47/100,0)))</f>
        <v/>
      </c>
      <c r="AL47" s="46" t="n"/>
      <c r="AQ47">
        <f>IF(AL47="","",IF(AN47="",IFERROR(VLOOKUP(AM47,Довідник_мінералів!$A:$B,2,0),"-"),ROUND(IFERROR(VLOOKUP(AM47,Довідник_мінералів!$A:$B,2,0),0)*AN47/100+IFERROR(VLOOKUP(AO47,Довідник_мінералів!$A:$B,2,0),0)*AP47/100,0)))</f>
        <v/>
      </c>
      <c r="AR47" s="46" t="n"/>
      <c r="AU47">
        <f>IF(AR47="","",IFERROR(VLOOKUP(AS47,Довідник_мінералів!$A:$B,2,0),"-"))</f>
        <v/>
      </c>
      <c r="AV47" s="46" t="n"/>
      <c r="AY47">
        <f>IF(AV47="","",IFERROR(VLOOKUP(AW47,Довідник_мінералів!$A:$B,2,0),"-"))</f>
        <v/>
      </c>
      <c r="AZ47" s="46" t="n"/>
      <c r="BB47">
        <f>IF(SE47="","",IFERROR(VLOOKUP(BA47,Довідник_мінералів!$A:$B,2,0),"-"))</f>
        <v/>
      </c>
      <c r="BC47" s="46" t="n"/>
      <c r="BD47" s="46" t="inlineStr">
        <is>
          <t>Для малих порід з чутливим ШКТ; ЕПК/ДГК; пребіотики</t>
        </is>
      </c>
    </row>
    <row r="48" ht="40" customHeight="1">
      <c r="A48" s="51" t="inlineStr">
        <is>
          <t>rc_gi_dry_dog</t>
        </is>
      </c>
      <c r="B48" s="51" t="inlineStr">
        <is>
          <t>Royal Canin</t>
        </is>
      </c>
      <c r="C48" s="51" t="inlineStr">
        <is>
          <t>Gastrointestinal</t>
        </is>
      </c>
      <c r="D48" s="51" t="inlineStr">
        <is>
          <t>Gastrointestinal (сухий)</t>
        </is>
      </c>
      <c r="E48" s="51" t="inlineStr">
        <is>
          <t>сухий</t>
        </is>
      </c>
      <c r="F48" s="51" t="inlineStr">
        <is>
          <t>собака</t>
        </is>
      </c>
      <c r="G48" s="51" t="inlineStr">
        <is>
          <t>ШКТ / гостра діарея</t>
        </is>
      </c>
      <c r="H48" s="51" t="n"/>
      <c r="I48" s="51" t="inlineStr">
        <is>
          <t>https://www.royalcanin.com/ua/dogs/products/vet-products/gastro-intestinal-dry</t>
        </is>
      </c>
      <c r="J48" s="51" t="n">
        <v>25</v>
      </c>
      <c r="K48" s="51" t="n">
        <v>20</v>
      </c>
      <c r="L48" s="51" t="n">
        <v>1.9</v>
      </c>
      <c r="M48" s="51" t="n">
        <v>6.6</v>
      </c>
      <c r="N48" s="51" t="n"/>
      <c r="O48">
        <f>IF(J48="","",ROUND(J48/(1-N48/100),1))</f>
        <v/>
      </c>
      <c r="P48">
        <f>IF(K48="","",ROUND(K48/(1-N48/100),1))</f>
        <v/>
      </c>
      <c r="Q48">
        <f>IF(L48="","",ROUND(L48/(1-N48/100),1))</f>
        <v/>
      </c>
      <c r="R48">
        <f>IF(M48="","",ROUND(M48/(1-N48/100),1))</f>
        <v/>
      </c>
      <c r="S48" s="51" t="inlineStr">
        <is>
          <t>Рис (L.I.P.), дегідратовані протеїни м'яса птиці (L.I.P.), кукурудза (L.I.P.), тваринні жири (L.I.P.), гідролізат білків тваринного походження (L.I.P.), яєчний порошок (L.I.P.), дріжджові продукти, буряковий жом, соєва олія (L.I.P.), риб'ячий жир (L.I.P.), рослинна клітковина, мінеральні речовини, оболонка та насіння подорожника, фруктоолігосахариди (0.5%), гідролізат дріжджів (МОС 0.2%)</t>
        </is>
      </c>
      <c r="T48" s="51" t="inlineStr">
        <is>
          <t>рис (L.I.P.)</t>
        </is>
      </c>
      <c r="U48" s="51" t="inlineStr">
        <is>
          <t>дегідратовані протеїни м'яса птиці (L.I.P.)</t>
        </is>
      </c>
      <c r="V48" s="51" t="inlineStr">
        <is>
          <t>яєчний порошок (L.I.P.)</t>
        </is>
      </c>
      <c r="W48" s="51" t="n">
        <v>16500</v>
      </c>
      <c r="X48" s="51" t="n">
        <v>1000</v>
      </c>
      <c r="Y48" s="51" t="n"/>
      <c r="Z48" s="51" t="n"/>
      <c r="AA48" s="51" t="n"/>
      <c r="AF48" s="51" t="n">
        <v>129</v>
      </c>
      <c r="AG48" s="51" t="inlineStr">
        <is>
          <t>оксид цинку / сульфат цинку</t>
        </is>
      </c>
      <c r="AK48">
        <f>IF(AF48="","",IF(AH48="",IFERROR(VLOOKUP(AG48,Довідник_мінералів!$A:$B,2,0),"-"),ROUND(IFERROR(VLOOKUP(AG48,Довідник_мінералів!$A:$B,2,0),0)*AH48/100+IFERROR(VLOOKUP(AI48,Довідник_мінералів!$A:$B,2,0),0)*AJ48/100,0)))</f>
        <v/>
      </c>
      <c r="AL48" s="51" t="n">
        <v>41</v>
      </c>
      <c r="AM48" s="51" t="inlineStr">
        <is>
          <t>сульфат заліза(II)</t>
        </is>
      </c>
      <c r="AQ48">
        <f>IF(AL48="","",IF(AN48="",IFERROR(VLOOKUP(AM48,Довідник_мінералів!$A:$B,2,0),"-"),ROUND(IFERROR(VLOOKUP(AM48,Довідник_мінералів!$A:$B,2,0),0)*AN48/100+IFERROR(VLOOKUP(AO48,Довідник_мінералів!$A:$B,2,0),0)*AP48/100,0)))</f>
        <v/>
      </c>
      <c r="AR48" s="51" t="n">
        <v>12</v>
      </c>
      <c r="AS48" s="51" t="inlineStr">
        <is>
          <t>сульфат міді</t>
        </is>
      </c>
      <c r="AU48">
        <f>IF(AR48="","",IFERROR(VLOOKUP(AS48,Довідник_мінералів!$A:$B,2,0),"-"))</f>
        <v/>
      </c>
      <c r="AV48" s="51" t="n">
        <v>53</v>
      </c>
      <c r="AW48" s="51" t="inlineStr">
        <is>
          <t>оксид марганцю</t>
        </is>
      </c>
      <c r="AY48">
        <f>IF(AV48="","",IFERROR(VLOOKUP(AW48,Довідник_мінералів!$A:$B,2,0),"-"))</f>
        <v/>
      </c>
      <c r="AZ48" s="51" t="n">
        <v>0.07000000000000001</v>
      </c>
      <c r="BA48" s="51" t="inlineStr">
        <is>
          <t>селеніт натрію</t>
        </is>
      </c>
      <c r="BB48">
        <f>IF(SE48="","",IFERROR(VLOOKUP(BA48,Довідник_мінералів!$A:$B,2,0),"-"))</f>
        <v/>
      </c>
      <c r="BC48" s="51" t="n">
        <v>4.1</v>
      </c>
      <c r="BD48" s="51" t="inlineStr">
        <is>
          <t>EPA/DHA 0.31%; Омега-3 0.85%; Омега-6 4.28%; Na 0.43%; K 0.65%; L.I.P. інгредієнти</t>
        </is>
      </c>
    </row>
    <row r="49" ht="40" customHeight="1">
      <c r="A49" s="46" t="inlineStr">
        <is>
          <t>rc_gi_lowfat_dry_dog</t>
        </is>
      </c>
      <c r="B49" s="46" t="inlineStr">
        <is>
          <t>Royal Canin</t>
        </is>
      </c>
      <c r="C49" s="46" t="inlineStr">
        <is>
          <t>Gastrointestinal Low Fat</t>
        </is>
      </c>
      <c r="D49" s="46" t="inlineStr">
        <is>
          <t>Gastrointestinal Low Fat (сухий)</t>
        </is>
      </c>
      <c r="E49" s="46" t="inlineStr">
        <is>
          <t>сухий</t>
        </is>
      </c>
      <c r="F49" s="46" t="inlineStr">
        <is>
          <t>собака</t>
        </is>
      </c>
      <c r="G49" s="46" t="inlineStr">
        <is>
          <t>ШКТ / панкреатит / гіперліпідемія</t>
        </is>
      </c>
      <c r="H49" s="46" t="n"/>
      <c r="I49" s="46" t="inlineStr">
        <is>
          <t>https://www.royalcanin.com/ua/dogs/products/vet-products/gastro-intestinal-low-fat-dry</t>
        </is>
      </c>
      <c r="J49" s="46" t="n">
        <v>22</v>
      </c>
      <c r="K49" s="46" t="n">
        <v>7</v>
      </c>
      <c r="L49" s="46" t="n">
        <v>1.7</v>
      </c>
      <c r="M49" s="46" t="n">
        <v>6.2</v>
      </c>
      <c r="N49" s="46" t="n"/>
      <c r="O49">
        <f>IF(J49="","",ROUND(J49/(1-N49/100),1))</f>
        <v/>
      </c>
      <c r="P49">
        <f>IF(K49="","",ROUND(K49/(1-N49/100),1))</f>
        <v/>
      </c>
      <c r="Q49">
        <f>IF(L49="","",ROUND(L49/(1-N49/100),1))</f>
        <v/>
      </c>
      <c r="R49">
        <f>IF(M49="","",ROUND(M49/(1-N49/100),1))</f>
        <v/>
      </c>
      <c r="S49" s="46" t="inlineStr">
        <is>
          <t>Рис, дегідратовані протеїни свійської птиці, кукурудза, ячмінь, гідролізовані протеїни тваринного походження, буряковий жом, тваринні жири, мінеральні речовини, дріжджові продукти, оболонка та насіння подорожника, фруктоолігосахариди (0.48%), риб'ячий жир, дріжджі (МОС 0.19%), борошно чорнобривців прямостоячих</t>
        </is>
      </c>
      <c r="T49" s="46" t="inlineStr">
        <is>
          <t>рис</t>
        </is>
      </c>
      <c r="U49" s="46" t="inlineStr">
        <is>
          <t>дегідратовані протеїни свійської птиці</t>
        </is>
      </c>
      <c r="V49" s="46" t="inlineStr">
        <is>
          <t>ячмінь</t>
        </is>
      </c>
      <c r="W49" s="46" t="n">
        <v>16500</v>
      </c>
      <c r="X49" s="46" t="n">
        <v>1000</v>
      </c>
      <c r="Y49" s="46" t="n">
        <v>410</v>
      </c>
      <c r="Z49" s="46" t="n">
        <v>250</v>
      </c>
      <c r="AA49" s="46" t="n">
        <v>1300</v>
      </c>
      <c r="AF49" s="46" t="n">
        <v>133</v>
      </c>
      <c r="AG49" s="46" t="inlineStr">
        <is>
          <t>оксид цинку / сульфат цинку</t>
        </is>
      </c>
      <c r="AK49">
        <f>IF(AF49="","",IF(AH49="",IFERROR(VLOOKUP(AG49,Довідник_мінералів!$A:$B,2,0),"-"),ROUND(IFERROR(VLOOKUP(AG49,Довідник_мінералів!$A:$B,2,0),0)*AH49/100+IFERROR(VLOOKUP(AI49,Довідник_мінералів!$A:$B,2,0),0)*AJ49/100,0)))</f>
        <v/>
      </c>
      <c r="AL49" s="46" t="n">
        <v>42</v>
      </c>
      <c r="AM49" s="46" t="inlineStr">
        <is>
          <t>сульфат заліза(II)</t>
        </is>
      </c>
      <c r="AQ49">
        <f>IF(AL49="","",IF(AN49="",IFERROR(VLOOKUP(AM49,Довідник_мінералів!$A:$B,2,0),"-"),ROUND(IFERROR(VLOOKUP(AM49,Довідник_мінералів!$A:$B,2,0),0)*AN49/100+IFERROR(VLOOKUP(AO49,Довідник_мінералів!$A:$B,2,0),0)*AP49/100,0)))</f>
        <v/>
      </c>
      <c r="AR49" s="46" t="n">
        <v>13</v>
      </c>
      <c r="AS49" s="46" t="inlineStr">
        <is>
          <t>сульфат міді</t>
        </is>
      </c>
      <c r="AU49">
        <f>IF(AR49="","",IFERROR(VLOOKUP(AS49,Довідник_мінералів!$A:$B,2,0),"-"))</f>
        <v/>
      </c>
      <c r="AV49" s="46" t="n">
        <v>54</v>
      </c>
      <c r="AW49" s="46" t="inlineStr">
        <is>
          <t>оксид марганцю</t>
        </is>
      </c>
      <c r="AY49">
        <f>IF(AV49="","",IFERROR(VLOOKUP(AW49,Довідник_мінералів!$A:$B,2,0),"-"))</f>
        <v/>
      </c>
      <c r="AZ49" s="46" t="n">
        <v>0.07000000000000001</v>
      </c>
      <c r="BA49" s="46" t="inlineStr">
        <is>
          <t>селеніт натрію</t>
        </is>
      </c>
      <c r="BB49">
        <f>IF(SE49="","",IFERROR(VLOOKUP(BA49,Довідник_мінералів!$A:$B,2,0),"-"))</f>
        <v/>
      </c>
      <c r="BC49" s="46" t="n">
        <v>4.2</v>
      </c>
      <c r="BD49" s="46" t="inlineStr">
        <is>
          <t>ДУЖЕ НИЗЬКИЙ ЖИР 7%; EPA/DHA 0.14%; таурин 1.3 г/кг; вітамін C 250 мг/кг; вітамін E 410 мг/кг; для панкреатиту</t>
        </is>
      </c>
    </row>
    <row r="50" ht="40" customHeight="1">
      <c r="A50" s="51" t="inlineStr">
        <is>
          <t>rc_gi_puppy_wet_dog</t>
        </is>
      </c>
      <c r="B50" s="51" t="inlineStr">
        <is>
          <t>Royal Canin</t>
        </is>
      </c>
      <c r="C50" s="51" t="inlineStr">
        <is>
          <t>Gastrointestinal Puppy</t>
        </is>
      </c>
      <c r="D50" s="51" t="inlineStr">
        <is>
          <t>Gastrointestinal Puppy (вологий)</t>
        </is>
      </c>
      <c r="E50" s="51" t="inlineStr">
        <is>
          <t>вологий</t>
        </is>
      </c>
      <c r="F50" s="51" t="inlineStr">
        <is>
          <t>собака</t>
        </is>
      </c>
      <c r="G50" s="51" t="inlineStr">
        <is>
          <t>ШКТ цуценята / вагітні</t>
        </is>
      </c>
      <c r="H50" s="51" t="n"/>
      <c r="I50" s="51" t="inlineStr">
        <is>
          <t>https://www.royalcanin.com/ua/dogs/products/vet-products/gastro-intestinal-puppy-wet</t>
        </is>
      </c>
      <c r="J50" s="51" t="n">
        <v>10</v>
      </c>
      <c r="K50" s="51" t="n">
        <v>5.8</v>
      </c>
      <c r="L50" s="51" t="n">
        <v>0.8</v>
      </c>
      <c r="M50" s="51" t="n">
        <v>2.2</v>
      </c>
      <c r="N50" s="51" t="n">
        <v>78.5</v>
      </c>
      <c r="O50">
        <f>IF(J50="","",ROUND(J50/(1-N50/100),1))</f>
        <v/>
      </c>
      <c r="P50">
        <f>IF(K50="","",ROUND(K50/(1-N50/100),1))</f>
        <v/>
      </c>
      <c r="Q50">
        <f>IF(L50="","",ROUND(L50/(1-N50/100),1))</f>
        <v/>
      </c>
      <c r="R50">
        <f>IF(M50="","",ROUND(M50/(1-N50/100),1))</f>
        <v/>
      </c>
      <c r="S50" s="51" t="inlineStr">
        <is>
          <t>М'ясо та м'ясні субпродукти, злаки, субпродукти рослинного походження, мінеральні речовини, молоко та молочні продукти, олії та жири, дріжджі. Субпродукти птиці та свинини, рисове борошно, казеїнат</t>
        </is>
      </c>
      <c r="T50" s="51" t="inlineStr">
        <is>
          <t>субпродукти птиці та свинини</t>
        </is>
      </c>
      <c r="U50" s="51" t="inlineStr">
        <is>
          <t>рисове борошно</t>
        </is>
      </c>
      <c r="V50" s="51" t="inlineStr">
        <is>
          <t>казеїнат</t>
        </is>
      </c>
      <c r="W50" s="51" t="n"/>
      <c r="X50" s="51" t="n">
        <v>130</v>
      </c>
      <c r="Y50" s="51" t="n"/>
      <c r="Z50" s="51" t="n"/>
      <c r="AA50" s="51" t="n"/>
      <c r="AF50" s="51" t="n">
        <v>18</v>
      </c>
      <c r="AG50" s="51" t="inlineStr">
        <is>
          <t>оксид цинку / сульфат цинку</t>
        </is>
      </c>
      <c r="AK50">
        <f>IF(AF50="","",IF(AH50="",IFERROR(VLOOKUP(AG50,Довідник_мінералів!$A:$B,2,0),"-"),ROUND(IFERROR(VLOOKUP(AG50,Довідник_мінералів!$A:$B,2,0),0)*AH50/100+IFERROR(VLOOKUP(AI50,Довідник_мінералів!$A:$B,2,0),0)*AJ50/100,0)))</f>
        <v/>
      </c>
      <c r="AL50" s="51" t="n">
        <v>6</v>
      </c>
      <c r="AM50" s="51" t="inlineStr">
        <is>
          <t>сульфат заліза(II)</t>
        </is>
      </c>
      <c r="AQ50">
        <f>IF(AL50="","",IF(AN50="",IFERROR(VLOOKUP(AM50,Довідник_мінералів!$A:$B,2,0),"-"),ROUND(IFERROR(VLOOKUP(AM50,Довідник_мінералів!$A:$B,2,0),0)*AN50/100+IFERROR(VLOOKUP(AO50,Довідник_мінералів!$A:$B,2,0),0)*AP50/100,0)))</f>
        <v/>
      </c>
      <c r="AR50" s="51" t="n">
        <v>2.4</v>
      </c>
      <c r="AS50" s="51" t="inlineStr">
        <is>
          <t>сульфат міді</t>
        </is>
      </c>
      <c r="AU50">
        <f>IF(AR50="","",IFERROR(VLOOKUP(AS50,Довідник_мінералів!$A:$B,2,0),"-"))</f>
        <v/>
      </c>
      <c r="AV50" s="51" t="n">
        <v>1.8</v>
      </c>
      <c r="AW50" s="51" t="inlineStr">
        <is>
          <t>оксид марганцю</t>
        </is>
      </c>
      <c r="AY50">
        <f>IF(AV50="","",IFERROR(VLOOKUP(AW50,Довідник_мінералів!$A:$B,2,0),"-"))</f>
        <v/>
      </c>
      <c r="AZ50" s="51" t="n"/>
      <c r="BA50" s="51" t="n"/>
      <c r="BB50">
        <f>IF(SE50="","",IFERROR(VLOOKUP(BA50,Довідник_мінералів!$A:$B,2,0),"-"))</f>
        <v/>
      </c>
      <c r="BC50" s="51" t="n">
        <v>0.3</v>
      </c>
      <c r="BD50" s="51" t="inlineStr">
        <is>
          <t>Ca 0.32%; Na 0.24%; K 0.19%; Омега-3 0.2%; Омега-6 1.2%; містить молоко; для цуценят від відлучення до 1 року</t>
        </is>
      </c>
    </row>
    <row r="51" ht="40" customHeight="1">
      <c r="A51" s="46" t="inlineStr">
        <is>
          <t>rc_renal_dry_dog</t>
        </is>
      </c>
      <c r="B51" s="46" t="inlineStr">
        <is>
          <t>Royal Canin</t>
        </is>
      </c>
      <c r="C51" s="46" t="inlineStr">
        <is>
          <t>Renal</t>
        </is>
      </c>
      <c r="D51" s="46" t="inlineStr">
        <is>
          <t>Renal (сухий)</t>
        </is>
      </c>
      <c r="E51" s="46" t="inlineStr">
        <is>
          <t>сухий</t>
        </is>
      </c>
      <c r="F51" s="46" t="inlineStr">
        <is>
          <t>собака</t>
        </is>
      </c>
      <c r="G51" s="46" t="inlineStr">
        <is>
          <t>ХХН нирки</t>
        </is>
      </c>
      <c r="H51" s="46" t="n"/>
      <c r="I51" s="46" t="inlineStr">
        <is>
          <t>https://www.royalcanin.com/ua/dogs/products/vet-products/renal-dry</t>
        </is>
      </c>
      <c r="J51" s="46" t="n">
        <v>14</v>
      </c>
      <c r="K51" s="46" t="n">
        <v>18</v>
      </c>
      <c r="L51" s="46" t="n">
        <v>2.4</v>
      </c>
      <c r="M51" s="46" t="n">
        <v>4</v>
      </c>
      <c r="N51" s="46" t="n"/>
      <c r="O51">
        <f>IF(J51="","",ROUND(J51/(1-N51/100),1))</f>
        <v/>
      </c>
      <c r="P51">
        <f>IF(K51="","",ROUND(K51/(1-N51/100),1))</f>
        <v/>
      </c>
      <c r="Q51">
        <f>IF(L51="","",ROUND(L51/(1-N51/100),1))</f>
        <v/>
      </c>
      <c r="R51">
        <f>IF(M51="","",ROUND(M51/(1-N51/100),1))</f>
        <v/>
      </c>
      <c r="S51" s="46" t="inlineStr">
        <is>
          <t>Рис, тваринні жири, кукурудзяне борошно, яєчний порошок, кукурудзяний глютен, дегідратовані протеїни птиці, кукурудза, гідролізат білків тваринного походження, мінеральні речовини, рослинна клітковина, риб'ячий жир, соєва олія, екстракт цикорію, фруктоолігосахариди, оболонка та насіння подорожника</t>
        </is>
      </c>
      <c r="T51" s="46" t="inlineStr">
        <is>
          <t>рис</t>
        </is>
      </c>
      <c r="U51" s="46" t="inlineStr">
        <is>
          <t>яєчний порошок</t>
        </is>
      </c>
      <c r="V51" s="46" t="inlineStr">
        <is>
          <t>кукурудзяний глютен</t>
        </is>
      </c>
      <c r="W51" s="46" t="n"/>
      <c r="X51" s="46" t="n"/>
      <c r="Y51" s="46" t="n"/>
      <c r="Z51" s="46" t="n"/>
      <c r="AA51" s="46" t="n"/>
      <c r="AF51" s="46" t="n"/>
      <c r="AG51" s="46" t="inlineStr">
        <is>
          <t>не вказано</t>
        </is>
      </c>
      <c r="AK51">
        <f>IF(AF51="","",IF(AH51="",IFERROR(VLOOKUP(AG51,Довідник_мінералів!$A:$B,2,0),"-"),ROUND(IFERROR(VLOOKUP(AG51,Довідник_мінералів!$A:$B,2,0),0)*AH51/100+IFERROR(VLOOKUP(AI51,Довідник_мінералів!$A:$B,2,0),0)*AJ51/100,0)))</f>
        <v/>
      </c>
      <c r="AL51" s="46" t="n"/>
      <c r="AM51" s="46" t="inlineStr">
        <is>
          <t>не вказано</t>
        </is>
      </c>
      <c r="AQ51">
        <f>IF(AL51="","",IF(AN51="",IFERROR(VLOOKUP(AM51,Довідник_мінералів!$A:$B,2,0),"-"),ROUND(IFERROR(VLOOKUP(AM51,Довідник_мінералів!$A:$B,2,0),0)*AN51/100+IFERROR(VLOOKUP(AO51,Довідник_мінералів!$A:$B,2,0),0)*AP51/100,0)))</f>
        <v/>
      </c>
      <c r="AR51" s="46" t="n"/>
      <c r="AS51" s="46" t="inlineStr">
        <is>
          <t>сульфат міді</t>
        </is>
      </c>
      <c r="AU51">
        <f>IF(AR51="","",IFERROR(VLOOKUP(AS51,Довідник_мінералів!$A:$B,2,0),"-"))</f>
        <v/>
      </c>
      <c r="AV51" s="46" t="n"/>
      <c r="AW51" s="46" t="n"/>
      <c r="AY51">
        <f>IF(AV51="","",IFERROR(VLOOKUP(AW51,Довідник_мінералів!$A:$B,2,0),"-"))</f>
        <v/>
      </c>
      <c r="AZ51" s="46" t="n"/>
      <c r="BA51" s="46" t="n"/>
      <c r="BB51">
        <f>IF(SE51="","",IFERROR(VLOOKUP(BA51,Довідник_мінералів!$A:$B,2,0),"-"))</f>
        <v/>
      </c>
      <c r="BC51" s="46" t="n"/>
      <c r="BD51" s="46" t="inlineStr">
        <is>
          <t>Ca 0.4%; P 0.2% (ДУЖЕ НИЗЬКИЙ); K 0.6%; Na 0.35%; EPA/DHA 0.47%; підлужувачі: цитрат калію, карбонат кальцію</t>
        </is>
      </c>
    </row>
    <row r="52" ht="40" customHeight="1">
      <c r="A52" s="51" t="inlineStr">
        <is>
          <t>rc_renal_wet_dog</t>
        </is>
      </c>
      <c r="B52" s="51" t="inlineStr">
        <is>
          <t>Royal Canin</t>
        </is>
      </c>
      <c r="C52" s="51" t="inlineStr">
        <is>
          <t>Renal</t>
        </is>
      </c>
      <c r="D52" s="51" t="inlineStr">
        <is>
          <t>Renal (вологий)</t>
        </is>
      </c>
      <c r="E52" s="51" t="inlineStr">
        <is>
          <t>вологий</t>
        </is>
      </c>
      <c r="F52" s="51" t="inlineStr">
        <is>
          <t>собака</t>
        </is>
      </c>
      <c r="G52" s="51" t="inlineStr">
        <is>
          <t>ХХН нирки</t>
        </is>
      </c>
      <c r="H52" s="51" t="n"/>
      <c r="I52" s="51" t="inlineStr">
        <is>
          <t>https://www.royalcanin.com/ua/dogs/products/vet-products/renal-wet</t>
        </is>
      </c>
      <c r="J52" s="51" t="n">
        <v>5.4</v>
      </c>
      <c r="K52" s="51" t="n">
        <v>9</v>
      </c>
      <c r="L52" s="51" t="n">
        <v>1</v>
      </c>
      <c r="M52" s="51" t="n">
        <v>1.7</v>
      </c>
      <c r="N52" s="51" t="n">
        <v>66</v>
      </c>
      <c r="O52">
        <f>IF(J52="","",ROUND(J52/(1-N52/100),1))</f>
        <v/>
      </c>
      <c r="P52">
        <f>IF(K52="","",ROUND(K52/(1-N52/100),1))</f>
        <v/>
      </c>
      <c r="Q52">
        <f>IF(L52="","",ROUND(L52/(1-N52/100),1))</f>
        <v/>
      </c>
      <c r="R52">
        <f>IF(M52="","",ROUND(M52/(1-N52/100),1))</f>
        <v/>
      </c>
      <c r="S52" s="51" t="inlineStr">
        <is>
          <t>М'ясо та м'ясні субпродукти, злаки, олії та жири, мінеральні речовини, субпродукти рослинного походження</t>
        </is>
      </c>
      <c r="T52" s="51" t="inlineStr">
        <is>
          <t>м'ясо та м'ясні субпродукти</t>
        </is>
      </c>
      <c r="U52" s="51" t="inlineStr">
        <is>
          <t>злаки</t>
        </is>
      </c>
      <c r="V52" s="51" t="inlineStr">
        <is>
          <t>олії та жири</t>
        </is>
      </c>
      <c r="W52" s="51" t="n"/>
      <c r="X52" s="51" t="n"/>
      <c r="Y52" s="51" t="n"/>
      <c r="Z52" s="51" t="n"/>
      <c r="AA52" s="51" t="n"/>
      <c r="AF52" s="51" t="n"/>
      <c r="AG52" s="51" t="n"/>
      <c r="AK52">
        <f>IF(AF52="","",IF(AH52="",IFERROR(VLOOKUP(AG52,Довідник_мінералів!$A:$B,2,0),"-"),ROUND(IFERROR(VLOOKUP(AG52,Довідник_мінералів!$A:$B,2,0),0)*AH52/100+IFERROR(VLOOKUP(AI52,Довідник_мінералів!$A:$B,2,0),0)*AJ52/100,0)))</f>
        <v/>
      </c>
      <c r="AL52" s="51" t="n"/>
      <c r="AM52" s="51" t="n"/>
      <c r="AQ52">
        <f>IF(AL52="","",IF(AN52="",IFERROR(VLOOKUP(AM52,Довідник_мінералів!$A:$B,2,0),"-"),ROUND(IFERROR(VLOOKUP(AM52,Довідник_мінералів!$A:$B,2,0),0)*AN52/100+IFERROR(VLOOKUP(AO52,Довідник_мінералів!$A:$B,2,0),0)*AP52/100,0)))</f>
        <v/>
      </c>
      <c r="AR52" s="51" t="n"/>
      <c r="AS52" s="51" t="n"/>
      <c r="AU52">
        <f>IF(AR52="","",IFERROR(VLOOKUP(AS52,Довідник_мінералів!$A:$B,2,0),"-"))</f>
        <v/>
      </c>
      <c r="AV52" s="51" t="n"/>
      <c r="AW52" s="51" t="n"/>
      <c r="AY52">
        <f>IF(AV52="","",IFERROR(VLOOKUP(AW52,Довідник_мінералів!$A:$B,2,0),"-"))</f>
        <v/>
      </c>
      <c r="AZ52" s="51" t="n"/>
      <c r="BA52" s="51" t="n"/>
      <c r="BB52">
        <f>IF(SE52="","",IFERROR(VLOOKUP(BA52,Довідник_мінералів!$A:$B,2,0),"-"))</f>
        <v/>
      </c>
      <c r="BC52" s="51" t="n"/>
      <c r="BD52" s="51" t="inlineStr">
        <is>
          <t>Ca 0.17%; P 0.11% (ДУЖЕ НИЗЬКИЙ); K 0.28%; Na 0.17%; вологість 66%; підлужувачі</t>
        </is>
      </c>
    </row>
    <row r="53" ht="40" customHeight="1">
      <c r="A53" s="46" t="inlineStr">
        <is>
          <t>rc_hepatic_dry_dog</t>
        </is>
      </c>
      <c r="B53" s="46" t="inlineStr">
        <is>
          <t>Royal Canin</t>
        </is>
      </c>
      <c r="C53" s="46" t="inlineStr">
        <is>
          <t>Hepatic</t>
        </is>
      </c>
      <c r="D53" s="46" t="inlineStr">
        <is>
          <t>Hepatic (сухий)</t>
        </is>
      </c>
      <c r="E53" s="46" t="inlineStr">
        <is>
          <t>сухий</t>
        </is>
      </c>
      <c r="F53" s="46" t="inlineStr">
        <is>
          <t>собака</t>
        </is>
      </c>
      <c r="G53" s="46" t="inlineStr">
        <is>
          <t>захворювання печінки</t>
        </is>
      </c>
      <c r="H53" s="46" t="n"/>
      <c r="I53" s="46" t="inlineStr">
        <is>
          <t>https://www.royalcanin.com/ua/dogs/products/vet-products/hepatic-dry</t>
        </is>
      </c>
      <c r="J53" s="46" t="n">
        <v>16</v>
      </c>
      <c r="K53" s="46" t="n">
        <v>16</v>
      </c>
      <c r="L53" s="46" t="n">
        <v>1.9</v>
      </c>
      <c r="M53" s="46" t="n">
        <v>4.7</v>
      </c>
      <c r="N53" s="46" t="n"/>
      <c r="O53">
        <f>IF(J53="","",ROUND(J53/(1-N53/100),1))</f>
        <v/>
      </c>
      <c r="P53">
        <f>IF(K53="","",ROUND(K53/(1-N53/100),1))</f>
        <v/>
      </c>
      <c r="Q53">
        <f>IF(L53="","",ROUND(L53/(1-N53/100),1))</f>
        <v/>
      </c>
      <c r="R53">
        <f>IF(M53="","",ROUND(M53/(1-N53/100),1))</f>
        <v/>
      </c>
      <c r="S53" s="46" t="inlineStr">
        <is>
          <t>Рис, тваринні жири, кукурудзяне борошно, кукурудзяний глютен, кукурудза, гідролізат білків тваринного походження, яєчний порошок, рослинна клітковина, мінеральні речовини, риб'ячий жир, буряковий жом, соєва олія, екстракт цикорію, фруктоолігосахариди</t>
        </is>
      </c>
      <c r="T53" s="46" t="inlineStr">
        <is>
          <t>рис</t>
        </is>
      </c>
      <c r="U53" s="46" t="inlineStr">
        <is>
          <t>яєчний порошок</t>
        </is>
      </c>
      <c r="V53" s="46" t="inlineStr">
        <is>
          <t>кукурудзяний глютен</t>
        </is>
      </c>
      <c r="W53" s="46" t="n"/>
      <c r="X53" s="46" t="n"/>
      <c r="Y53" s="46" t="n"/>
      <c r="Z53" s="46" t="n"/>
      <c r="AA53" s="46" t="n"/>
      <c r="AF53" s="46" t="n"/>
      <c r="AG53" s="46" t="n"/>
      <c r="AK53">
        <f>IF(AF53="","",IF(AH53="",IFERROR(VLOOKUP(AG53,Довідник_мінералів!$A:$B,2,0),"-"),ROUND(IFERROR(VLOOKUP(AG53,Довідник_мінералів!$A:$B,2,0),0)*AH53/100+IFERROR(VLOOKUP(AI53,Довідник_мінералів!$A:$B,2,0),0)*AJ53/100,0)))</f>
        <v/>
      </c>
      <c r="AL53" s="46" t="n"/>
      <c r="AM53" s="46" t="n"/>
      <c r="AQ53">
        <f>IF(AL53="","",IF(AN53="",IFERROR(VLOOKUP(AM53,Довідник_мінералів!$A:$B,2,0),"-"),ROUND(IFERROR(VLOOKUP(AM53,Довідник_мінералів!$A:$B,2,0),0)*AN53/100+IFERROR(VLOOKUP(AO53,Довідник_мінералів!$A:$B,2,0),0)*AP53/100,0)))</f>
        <v/>
      </c>
      <c r="AR53" s="46" t="n"/>
      <c r="AS53" s="46" t="inlineStr">
        <is>
          <t>Cu знижена (3 мг/кг)</t>
        </is>
      </c>
      <c r="AU53">
        <f>IF(AR53="","",IFERROR(VLOOKUP(AS53,Довідник_мінералів!$A:$B,2,0),"-"))</f>
        <v/>
      </c>
      <c r="AV53" s="46" t="n"/>
      <c r="AW53" s="46" t="n"/>
      <c r="AY53">
        <f>IF(AV53="","",IFERROR(VLOOKUP(AW53,Довідник_мінералів!$A:$B,2,0),"-"))</f>
        <v/>
      </c>
      <c r="AZ53" s="46" t="n"/>
      <c r="BA53" s="46" t="n"/>
      <c r="BB53">
        <f>IF(SE53="","",IFERROR(VLOOKUP(BA53,Довідник_мінералів!$A:$B,2,0),"-"))</f>
        <v/>
      </c>
      <c r="BC53" s="46" t="n"/>
      <c r="BD53" s="46" t="inlineStr">
        <is>
          <t>Cu загальна 3 мг/кг (ЗНИЖЕНА); EPA/DHA 0.2%; Na 0.2%; S/O index; тривалість до 6 міс</t>
        </is>
      </c>
    </row>
    <row r="54" ht="40" customHeight="1">
      <c r="A54" s="51" t="inlineStr">
        <is>
          <t>rc_hepatic_wet_dog</t>
        </is>
      </c>
      <c r="B54" s="51" t="inlineStr">
        <is>
          <t>Royal Canin</t>
        </is>
      </c>
      <c r="C54" s="51" t="inlineStr">
        <is>
          <t>Hepatic</t>
        </is>
      </c>
      <c r="D54" s="51" t="inlineStr">
        <is>
          <t>Hepatic (вологий)</t>
        </is>
      </c>
      <c r="E54" s="51" t="inlineStr">
        <is>
          <t>вологий</t>
        </is>
      </c>
      <c r="F54" s="51" t="inlineStr">
        <is>
          <t>собака</t>
        </is>
      </c>
      <c r="G54" s="51" t="inlineStr">
        <is>
          <t>захворювання печінки</t>
        </is>
      </c>
      <c r="H54" s="51" t="n"/>
      <c r="I54" s="51" t="inlineStr">
        <is>
          <t>https://www.royalcanin.com/ua/dogs/products/vet-products/hepatic-wet</t>
        </is>
      </c>
      <c r="J54" s="51" t="n">
        <v>6.5</v>
      </c>
      <c r="K54" s="51" t="n">
        <v>4</v>
      </c>
      <c r="L54" s="51" t="n">
        <v>1</v>
      </c>
      <c r="M54" s="51" t="n">
        <v>1.7</v>
      </c>
      <c r="N54" s="51" t="n">
        <v>64.5</v>
      </c>
      <c r="O54">
        <f>IF(J54="","",ROUND(J54/(1-N54/100),1))</f>
        <v/>
      </c>
      <c r="P54">
        <f>IF(K54="","",ROUND(K54/(1-N54/100),1))</f>
        <v/>
      </c>
      <c r="Q54">
        <f>IF(L54="","",ROUND(L54/(1-N54/100),1))</f>
        <v/>
      </c>
      <c r="R54">
        <f>IF(M54="","",ROUND(M54/(1-N54/100),1))</f>
        <v/>
      </c>
      <c r="S54" s="51" t="inlineStr">
        <is>
          <t>М'ясо та м'ясні субпродукти, злаки, олії та жири, мінеральні речовини, субпродукти рослинного походження</t>
        </is>
      </c>
      <c r="T54" s="51" t="inlineStr">
        <is>
          <t>м'ясо та м'ясні субпродукти</t>
        </is>
      </c>
      <c r="U54" s="51" t="inlineStr">
        <is>
          <t>злаки</t>
        </is>
      </c>
      <c r="V54" s="51" t="inlineStr">
        <is>
          <t>олії та жири</t>
        </is>
      </c>
      <c r="W54" s="51" t="n"/>
      <c r="X54" s="51" t="n"/>
      <c r="Y54" s="51" t="n"/>
      <c r="Z54" s="51" t="n"/>
      <c r="AA54" s="51" t="n"/>
      <c r="AF54" s="51" t="n"/>
      <c r="AG54" s="51" t="n"/>
      <c r="AK54">
        <f>IF(AF54="","",IF(AH54="",IFERROR(VLOOKUP(AG54,Довідник_мінералів!$A:$B,2,0),"-"),ROUND(IFERROR(VLOOKUP(AG54,Довідник_мінералів!$A:$B,2,0),0)*AH54/100+IFERROR(VLOOKUP(AI54,Довідник_мінералів!$A:$B,2,0),0)*AJ54/100,0)))</f>
        <v/>
      </c>
      <c r="AL54" s="51" t="n"/>
      <c r="AM54" s="51" t="n"/>
      <c r="AQ54">
        <f>IF(AL54="","",IF(AN54="",IFERROR(VLOOKUP(AM54,Довідник_мінералів!$A:$B,2,0),"-"),ROUND(IFERROR(VLOOKUP(AM54,Довідник_мінералів!$A:$B,2,0),0)*AN54/100+IFERROR(VLOOKUP(AO54,Довідник_мінералів!$A:$B,2,0),0)*AP54/100,0)))</f>
        <v/>
      </c>
      <c r="AR54" s="51" t="n"/>
      <c r="AS54" s="51" t="inlineStr">
        <is>
          <t>Cu знижена (1.7 мг/кг)</t>
        </is>
      </c>
      <c r="AU54">
        <f>IF(AR54="","",IFERROR(VLOOKUP(AS54,Довідник_мінералів!$A:$B,2,0),"-"))</f>
        <v/>
      </c>
      <c r="AV54" s="51" t="n"/>
      <c r="AW54" s="51" t="n"/>
      <c r="AY54">
        <f>IF(AV54="","",IFERROR(VLOOKUP(AW54,Довідник_мінералів!$A:$B,2,0),"-"))</f>
        <v/>
      </c>
      <c r="AZ54" s="51" t="n"/>
      <c r="BA54" s="51" t="n"/>
      <c r="BB54">
        <f>IF(SE54="","",IFERROR(VLOOKUP(BA54,Довідник_мінералів!$A:$B,2,0),"-"))</f>
        <v/>
      </c>
      <c r="BC54" s="51" t="n"/>
      <c r="BD54" s="51" t="inlineStr">
        <is>
          <t>Cu загальна 1.7 мг/кг (ДУЖЕ ЗНИЖЕНА); Омега-3 0.24%; EPA/DHA 0.15%; вологість 64.5%</t>
        </is>
      </c>
    </row>
    <row r="55" ht="40" customHeight="1">
      <c r="A55" s="46" t="inlineStr">
        <is>
          <t>rc_hypoallergenic_dry_dog</t>
        </is>
      </c>
      <c r="B55" s="46" t="inlineStr">
        <is>
          <t>Royal Canin</t>
        </is>
      </c>
      <c r="C55" s="46" t="inlineStr">
        <is>
          <t>Hypoallergenic</t>
        </is>
      </c>
      <c r="D55" s="46" t="inlineStr">
        <is>
          <t>Hypoallergenic (сухий)</t>
        </is>
      </c>
      <c r="E55" s="46" t="inlineStr">
        <is>
          <t>сухий</t>
        </is>
      </c>
      <c r="F55" s="46" t="inlineStr">
        <is>
          <t>собака</t>
        </is>
      </c>
      <c r="G55" s="46" t="inlineStr">
        <is>
          <t>алергія / IBD / атопічний дерматит</t>
        </is>
      </c>
      <c r="H55" s="46" t="n"/>
      <c r="I55" s="46" t="inlineStr">
        <is>
          <t>https://www.royalcanin.com/ua/dogs/products/vet-products/hypoallergenic-dry</t>
        </is>
      </c>
      <c r="J55" s="46" t="n">
        <v>21</v>
      </c>
      <c r="K55" s="46" t="n">
        <v>19</v>
      </c>
      <c r="L55" s="46" t="n">
        <v>1.1</v>
      </c>
      <c r="M55" s="46" t="n">
        <v>6.1</v>
      </c>
      <c r="N55" s="46" t="n"/>
      <c r="O55">
        <f>IF(J55="","",ROUND(J55/(1-N55/100),1))</f>
        <v/>
      </c>
      <c r="P55">
        <f>IF(K55="","",ROUND(K55/(1-N55/100),1))</f>
        <v/>
      </c>
      <c r="Q55">
        <f>IF(L55="","",ROUND(L55/(1-N55/100),1))</f>
        <v/>
      </c>
      <c r="R55">
        <f>IF(M55="","",ROUND(M55/(1-N55/100),1))</f>
        <v/>
      </c>
      <c r="S55" s="46" t="inlineStr">
        <is>
          <t>Рис, гідролізат ізолята соєвого протеїну, тваринні жири, рослинна клітковина, мінеральні речовини, буряковий жом, гідролізована печінка птиці, соєва олія, риб'ячий жир, фруктоолігосахариди, олія огірочника (GLA), екстракт чорнобривців (лютеїн)</t>
        </is>
      </c>
      <c r="T55" s="46" t="inlineStr">
        <is>
          <t>гідролізат ізолята соєвого протеїну</t>
        </is>
      </c>
      <c r="U55" s="46" t="inlineStr">
        <is>
          <t>рис</t>
        </is>
      </c>
      <c r="V55" s="46" t="inlineStr">
        <is>
          <t>гідролізована печінка птиці</t>
        </is>
      </c>
      <c r="W55" s="46" t="n">
        <v>27500</v>
      </c>
      <c r="X55" s="46" t="n">
        <v>800</v>
      </c>
      <c r="Y55" s="46" t="n"/>
      <c r="Z55" s="46" t="n"/>
      <c r="AA55" s="46" t="n"/>
      <c r="AF55" s="46" t="n">
        <v>154</v>
      </c>
      <c r="AG55" s="46" t="inlineStr">
        <is>
          <t>оксид цинку / сульфат цинку</t>
        </is>
      </c>
      <c r="AK55">
        <f>IF(AF55="","",IF(AH55="",IFERROR(VLOOKUP(AG55,Довідник_мінералів!$A:$B,2,0),"-"),ROUND(IFERROR(VLOOKUP(AG55,Довідник_мінералів!$A:$B,2,0),0)*AH55/100+IFERROR(VLOOKUP(AI55,Довідник_мінералів!$A:$B,2,0),0)*AJ55/100,0)))</f>
        <v/>
      </c>
      <c r="AL55" s="46" t="n">
        <v>42</v>
      </c>
      <c r="AM55" s="46" t="inlineStr">
        <is>
          <t>сульфат заліза(II)</t>
        </is>
      </c>
      <c r="AQ55">
        <f>IF(AL55="","",IF(AN55="",IFERROR(VLOOKUP(AM55,Довідник_мінералів!$A:$B,2,0),"-"),ROUND(IFERROR(VLOOKUP(AM55,Довідник_мінералів!$A:$B,2,0),0)*AN55/100+IFERROR(VLOOKUP(AO55,Довідник_мінералів!$A:$B,2,0),0)*AP55/100,0)))</f>
        <v/>
      </c>
      <c r="AR55" s="46" t="n">
        <v>15</v>
      </c>
      <c r="AS55" s="46" t="inlineStr">
        <is>
          <t>сульфат міді</t>
        </is>
      </c>
      <c r="AU55">
        <f>IF(AR55="","",IFERROR(VLOOKUP(AS55,Довідник_мінералів!$A:$B,2,0),"-"))</f>
        <v/>
      </c>
      <c r="AV55" s="46" t="n">
        <v>55</v>
      </c>
      <c r="AW55" s="46" t="inlineStr">
        <is>
          <t>оксид марганцю</t>
        </is>
      </c>
      <c r="AY55">
        <f>IF(AV55="","",IFERROR(VLOOKUP(AW55,Довідник_мінералів!$A:$B,2,0),"-"))</f>
        <v/>
      </c>
      <c r="AZ55" s="46" t="n">
        <v>0.26</v>
      </c>
      <c r="BA55" s="46" t="inlineStr">
        <is>
          <t>селеніт натрію</t>
        </is>
      </c>
      <c r="BB55">
        <f>IF(SE55="","",IFERROR(VLOOKUP(BA55,Довідник_мінералів!$A:$B,2,0),"-"))</f>
        <v/>
      </c>
      <c r="BC55" s="46" t="n">
        <v>3.8</v>
      </c>
      <c r="BD55" s="46" t="inlineStr">
        <is>
          <t>EPA/DHA 3.3 г/кг; Омега-3 9.5 г/кг; лінолева 42.7 г/кг; олія огірочника (GLA); клиноптилоліт 10 г</t>
        </is>
      </c>
    </row>
    <row r="56" ht="40" customHeight="1">
      <c r="A56" s="51" t="inlineStr">
        <is>
          <t>rc_hypoallergenic_wet_dog</t>
        </is>
      </c>
      <c r="B56" s="51" t="inlineStr">
        <is>
          <t>Royal Canin</t>
        </is>
      </c>
      <c r="C56" s="51" t="inlineStr">
        <is>
          <t>Hypoallergenic</t>
        </is>
      </c>
      <c r="D56" s="51" t="inlineStr">
        <is>
          <t>Hypoallergenic (вологий)</t>
        </is>
      </c>
      <c r="E56" s="51" t="inlineStr">
        <is>
          <t>вологий</t>
        </is>
      </c>
      <c r="F56" s="51" t="inlineStr">
        <is>
          <t>собака</t>
        </is>
      </c>
      <c r="G56" s="51" t="inlineStr">
        <is>
          <t>алергія / IBD</t>
        </is>
      </c>
      <c r="H56" s="51" t="n"/>
      <c r="I56" s="51" t="inlineStr">
        <is>
          <t>https://www.royalcanin.com/ua/dogs/products/vet-products/hypoallergenic-wet</t>
        </is>
      </c>
      <c r="J56" s="51" t="n">
        <v>6.4</v>
      </c>
      <c r="K56" s="51" t="n">
        <v>3.5</v>
      </c>
      <c r="L56" s="51" t="n">
        <v>1.5</v>
      </c>
      <c r="M56" s="51" t="n">
        <v>2</v>
      </c>
      <c r="N56" s="51" t="n">
        <v>74</v>
      </c>
      <c r="O56">
        <f>IF(J56="","",ROUND(J56/(1-N56/100),1))</f>
        <v/>
      </c>
      <c r="P56">
        <f>IF(K56="","",ROUND(K56/(1-N56/100),1))</f>
        <v/>
      </c>
      <c r="Q56">
        <f>IF(L56="","",ROUND(L56/(1-N56/100),1))</f>
        <v/>
      </c>
      <c r="R56">
        <f>IF(M56="","",ROUND(M56/(1-N56/100),1))</f>
        <v/>
      </c>
      <c r="S56" s="51" t="inlineStr">
        <is>
          <t>М'ясо та м'ясні субпродукти, злаки, мінеральні речовини, гідролізовані протеїни</t>
        </is>
      </c>
      <c r="T56" s="51" t="inlineStr">
        <is>
          <t>гідролізовані протеїни</t>
        </is>
      </c>
      <c r="U56" s="51" t="inlineStr">
        <is>
          <t>злаки</t>
        </is>
      </c>
      <c r="V56" s="51" t="n"/>
      <c r="W56" s="51" t="n">
        <v>3000</v>
      </c>
      <c r="X56" s="51" t="n">
        <v>320</v>
      </c>
      <c r="Y56" s="51" t="n"/>
      <c r="Z56" s="51" t="n"/>
      <c r="AA56" s="51" t="n"/>
      <c r="AF56" s="51" t="n">
        <v>36</v>
      </c>
      <c r="AG56" s="51" t="inlineStr">
        <is>
          <t>оксид цинку / сульфат цинку</t>
        </is>
      </c>
      <c r="AK56">
        <f>IF(AF56="","",IF(AH56="",IFERROR(VLOOKUP(AG56,Довідник_мінералів!$A:$B,2,0),"-"),ROUND(IFERROR(VLOOKUP(AG56,Довідник_мінералів!$A:$B,2,0),0)*AH56/100+IFERROR(VLOOKUP(AI56,Довідник_мінералів!$A:$B,2,0),0)*AJ56/100,0)))</f>
        <v/>
      </c>
      <c r="AL56" s="51" t="n">
        <v>11</v>
      </c>
      <c r="AM56" s="51" t="inlineStr">
        <is>
          <t>сульфат заліза(II)</t>
        </is>
      </c>
      <c r="AQ56">
        <f>IF(AL56="","",IF(AN56="",IFERROR(VLOOKUP(AM56,Довідник_мінералів!$A:$B,2,0),"-"),ROUND(IFERROR(VLOOKUP(AM56,Довідник_мінералів!$A:$B,2,0),0)*AN56/100+IFERROR(VLOOKUP(AO56,Довідник_мінералів!$A:$B,2,0),0)*AP56/100,0)))</f>
        <v/>
      </c>
      <c r="AR56" s="51" t="n">
        <v>3.8</v>
      </c>
      <c r="AS56" s="51" t="inlineStr">
        <is>
          <t>сульфат міді</t>
        </is>
      </c>
      <c r="AU56">
        <f>IF(AR56="","",IFERROR(VLOOKUP(AS56,Довідник_мінералів!$A:$B,2,0),"-"))</f>
        <v/>
      </c>
      <c r="AV56" s="51" t="n">
        <v>15</v>
      </c>
      <c r="AW56" s="51" t="inlineStr">
        <is>
          <t>оксид марганцю</t>
        </is>
      </c>
      <c r="AY56">
        <f>IF(AV56="","",IFERROR(VLOOKUP(AW56,Довідник_мінералів!$A:$B,2,0),"-"))</f>
        <v/>
      </c>
      <c r="AZ56" s="51" t="n"/>
      <c r="BA56" s="51" t="n"/>
      <c r="BB56">
        <f>IF(SE56="","",IFERROR(VLOOKUP(BA56,Довідник_мінералів!$A:$B,2,0),"-"))</f>
        <v/>
      </c>
      <c r="BC56" s="51" t="n">
        <v>1</v>
      </c>
      <c r="BD56" s="51" t="inlineStr">
        <is>
          <t>EPA/DHA 0.12%; лінолева 1.4%; вологість 74%; клиноптилоліт 2.5 г</t>
        </is>
      </c>
    </row>
    <row r="57" ht="40" customHeight="1">
      <c r="A57" s="46" t="inlineStr">
        <is>
          <t>rc_anallergenic_dry_dog</t>
        </is>
      </c>
      <c r="B57" s="46" t="inlineStr">
        <is>
          <t>Royal Canin</t>
        </is>
      </c>
      <c r="C57" s="46" t="inlineStr">
        <is>
          <t>Anallergenic</t>
        </is>
      </c>
      <c r="D57" s="46" t="inlineStr">
        <is>
          <t>Anallergenic (сухий)</t>
        </is>
      </c>
      <c r="E57" s="46" t="inlineStr">
        <is>
          <t>сухий</t>
        </is>
      </c>
      <c r="F57" s="46" t="inlineStr">
        <is>
          <t>собака</t>
        </is>
      </c>
      <c r="G57" s="46" t="inlineStr">
        <is>
          <t>важка алергія / елімінаційна дієта</t>
        </is>
      </c>
      <c r="H57" s="46" t="n"/>
      <c r="I57" s="46" t="inlineStr">
        <is>
          <t>https://www.royalcanin.com/ua/dogs/products/vet-products/anallergenic-4014</t>
        </is>
      </c>
      <c r="J57" s="46" t="n">
        <v>18</v>
      </c>
      <c r="K57" s="46" t="n">
        <v>16.5</v>
      </c>
      <c r="L57" s="46" t="n">
        <v>1.7</v>
      </c>
      <c r="M57" s="46" t="n">
        <v>6.5</v>
      </c>
      <c r="N57" s="46" t="n"/>
      <c r="O57">
        <f>IF(J57="","",ROUND(J57/(1-N57/100),1))</f>
        <v/>
      </c>
      <c r="P57">
        <f>IF(K57="","",ROUND(K57/(1-N57/100),1))</f>
        <v/>
      </c>
      <c r="Q57">
        <f>IF(L57="","",ROUND(L57/(1-N57/100),1))</f>
        <v/>
      </c>
      <c r="R57">
        <f>IF(M57="","",ROUND(M57/(1-N57/100),1))</f>
        <v/>
      </c>
      <c r="S57" s="46" t="inlineStr">
        <is>
          <t>Кукурудзяний крохмаль, пір'євий гідролізат малої молекулярної ваги (L-амінокислоти та олігопептиди), кокосова олія, соєва олія, мінеральні речовини, рослинна клітковина, екстракт цикорію, фруктоолігосахариди, риб'ячий жир, тваринний жир, екстракт чорнобривців (лютеїн)</t>
        </is>
      </c>
      <c r="T57" s="46" t="inlineStr">
        <is>
          <t>пір'євий гідролізат малої молекулярної ваги</t>
        </is>
      </c>
      <c r="U57" s="46" t="inlineStr">
        <is>
          <t>кукурудзяний крохмаль</t>
        </is>
      </c>
      <c r="V57" s="46" t="inlineStr">
        <is>
          <t>кокосова олія</t>
        </is>
      </c>
      <c r="W57" s="46" t="n">
        <v>36500</v>
      </c>
      <c r="X57" s="46" t="n">
        <v>800</v>
      </c>
      <c r="Y57" s="46" t="n"/>
      <c r="Z57" s="46" t="n"/>
      <c r="AA57" s="46" t="n"/>
      <c r="AF57" s="46" t="n">
        <v>154</v>
      </c>
      <c r="AG57" s="46" t="inlineStr">
        <is>
          <t>оксид цинку / сульфат цинку</t>
        </is>
      </c>
      <c r="AK57">
        <f>IF(AF57="","",IF(AH57="",IFERROR(VLOOKUP(AG57,Довідник_мінералів!$A:$B,2,0),"-"),ROUND(IFERROR(VLOOKUP(AG57,Довідник_мінералів!$A:$B,2,0),0)*AH57/100+IFERROR(VLOOKUP(AI57,Довідник_мінералів!$A:$B,2,0),0)*AJ57/100,0)))</f>
        <v/>
      </c>
      <c r="AL57" s="46" t="n">
        <v>42</v>
      </c>
      <c r="AM57" s="46" t="inlineStr">
        <is>
          <t>сульфат заліза(II)</t>
        </is>
      </c>
      <c r="AQ57">
        <f>IF(AL57="","",IF(AN57="",IFERROR(VLOOKUP(AM57,Довідник_мінералів!$A:$B,2,0),"-"),ROUND(IFERROR(VLOOKUP(AM57,Довідник_мінералів!$A:$B,2,0),0)*AN57/100+IFERROR(VLOOKUP(AO57,Довідник_мінералів!$A:$B,2,0),0)*AP57/100,0)))</f>
        <v/>
      </c>
      <c r="AR57" s="46" t="n">
        <v>15</v>
      </c>
      <c r="AS57" s="46" t="inlineStr">
        <is>
          <t>сульфат міді</t>
        </is>
      </c>
      <c r="AU57">
        <f>IF(AR57="","",IFERROR(VLOOKUP(AS57,Довідник_мінералів!$A:$B,2,0),"-"))</f>
        <v/>
      </c>
      <c r="AV57" s="46" t="n">
        <v>55</v>
      </c>
      <c r="AW57" s="46" t="inlineStr">
        <is>
          <t>оксид марганцю</t>
        </is>
      </c>
      <c r="AY57">
        <f>IF(AV57="","",IFERROR(VLOOKUP(AW57,Довідник_мінералів!$A:$B,2,0),"-"))</f>
        <v/>
      </c>
      <c r="AZ57" s="46" t="n">
        <v>0.26</v>
      </c>
      <c r="BA57" s="46" t="inlineStr">
        <is>
          <t>селеніт натрію</t>
        </is>
      </c>
      <c r="BB57">
        <f>IF(SE57="","",IFERROR(VLOOKUP(BA57,Довідник_мінералів!$A:$B,2,0),"-"))</f>
        <v/>
      </c>
      <c r="BC57" s="46" t="n">
        <v>3.8</v>
      </c>
      <c r="BD57" s="46" t="inlineStr">
        <is>
          <t>Єдиний білок: пір'євий гідролізат; лінолева 27.2 г/кг; клиноптилоліт 8.48 г; для важкої алергії</t>
        </is>
      </c>
    </row>
    <row r="58" ht="40" customHeight="1">
      <c r="A58" s="51" t="inlineStr">
        <is>
          <t>rc_urinary_so_dry_dog</t>
        </is>
      </c>
      <c r="B58" s="51" t="inlineStr">
        <is>
          <t>Royal Canin</t>
        </is>
      </c>
      <c r="C58" s="51" t="inlineStr">
        <is>
          <t>Urinary S/O</t>
        </is>
      </c>
      <c r="D58" s="51" t="inlineStr">
        <is>
          <t>Urinary S/O (сухий)</t>
        </is>
      </c>
      <c r="E58" s="51" t="inlineStr">
        <is>
          <t>сухий</t>
        </is>
      </c>
      <c r="F58" s="51" t="inlineStr">
        <is>
          <t>собака</t>
        </is>
      </c>
      <c r="G58" s="51" t="inlineStr">
        <is>
          <t>МКХ струвіти + оксалати</t>
        </is>
      </c>
      <c r="H58" s="51" t="n"/>
      <c r="I58" s="51" t="inlineStr">
        <is>
          <t>https://www.royalcanin.com/ua/dogs/products/vet-products/urinary-so-dog-dry</t>
        </is>
      </c>
      <c r="J58" s="51" t="n">
        <v>18</v>
      </c>
      <c r="K58" s="51" t="n">
        <v>17</v>
      </c>
      <c r="L58" s="51" t="n">
        <v>2.2</v>
      </c>
      <c r="M58" s="51" t="n">
        <v>6.4</v>
      </c>
      <c r="N58" s="51" t="n"/>
      <c r="O58">
        <f>IF(J58="","",ROUND(J58/(1-N58/100),1))</f>
        <v/>
      </c>
      <c r="P58">
        <f>IF(K58="","",ROUND(K58/(1-N58/100),1))</f>
        <v/>
      </c>
      <c r="Q58">
        <f>IF(L58="","",ROUND(L58/(1-N58/100),1))</f>
        <v/>
      </c>
      <c r="R58">
        <f>IF(M58="","",ROUND(M58/(1-N58/100),1))</f>
        <v/>
      </c>
      <c r="S58" s="51" t="inlineStr">
        <is>
          <t>Рис, кукурудзяна мука, дегідратовані білки птиці, тваринні жири, кукурудзяна клейковина, гідролізат білків тваринного походження, мінеральні речовини, рослинна клітковина, яєчний порошок, пшенична клейковина (L.I.P.), соєва олія, риб'ячий жир, фруктоолігосахариди</t>
        </is>
      </c>
      <c r="T58" s="51" t="inlineStr">
        <is>
          <t>рис</t>
        </is>
      </c>
      <c r="U58" s="51" t="inlineStr">
        <is>
          <t>дегідратовані білки птиці</t>
        </is>
      </c>
      <c r="V58" s="51" t="inlineStr">
        <is>
          <t>яєчний порошок</t>
        </is>
      </c>
      <c r="W58" s="51" t="n">
        <v>15500</v>
      </c>
      <c r="X58" s="51" t="n">
        <v>1000</v>
      </c>
      <c r="Y58" s="51" t="n"/>
      <c r="Z58" s="51" t="n"/>
      <c r="AA58" s="51" t="n"/>
      <c r="AF58" s="51" t="n">
        <v>147</v>
      </c>
      <c r="AG58" s="51" t="inlineStr">
        <is>
          <t>оксид цинку / сульфат цинку</t>
        </is>
      </c>
      <c r="AK58">
        <f>IF(AF58="","",IF(AH58="",IFERROR(VLOOKUP(AG58,Довідник_мінералів!$A:$B,2,0),"-"),ROUND(IFERROR(VLOOKUP(AG58,Довідник_мінералів!$A:$B,2,0),0)*AH58/100+IFERROR(VLOOKUP(AI58,Довідник_мінералів!$A:$B,2,0),0)*AJ58/100,0)))</f>
        <v/>
      </c>
      <c r="AL58" s="51" t="n">
        <v>44</v>
      </c>
      <c r="AM58" s="51" t="inlineStr">
        <is>
          <t>сульфат заліза(II)</t>
        </is>
      </c>
      <c r="AQ58">
        <f>IF(AL58="","",IF(AN58="",IFERROR(VLOOKUP(AM58,Довідник_мінералів!$A:$B,2,0),"-"),ROUND(IFERROR(VLOOKUP(AM58,Довідник_мінералів!$A:$B,2,0),0)*AN58/100+IFERROR(VLOOKUP(AO58,Довідник_мінералів!$A:$B,2,0),0)*AP58/100,0)))</f>
        <v/>
      </c>
      <c r="AR58" s="51" t="n">
        <v>13</v>
      </c>
      <c r="AS58" s="51" t="inlineStr">
        <is>
          <t>сульфат міді</t>
        </is>
      </c>
      <c r="AU58">
        <f>IF(AR58="","",IFERROR(VLOOKUP(AS58,Довідник_мінералів!$A:$B,2,0),"-"))</f>
        <v/>
      </c>
      <c r="AV58" s="51" t="n">
        <v>57</v>
      </c>
      <c r="AW58" s="51" t="inlineStr">
        <is>
          <t>оксид марганцю</t>
        </is>
      </c>
      <c r="AY58">
        <f>IF(AV58="","",IFERROR(VLOOKUP(AW58,Довідник_мінералів!$A:$B,2,0),"-"))</f>
        <v/>
      </c>
      <c r="AZ58" s="51" t="n">
        <v>0.06</v>
      </c>
      <c r="BA58" s="51" t="inlineStr">
        <is>
          <t>селеніт натрію</t>
        </is>
      </c>
      <c r="BB58">
        <f>IF(SE58="","",IFERROR(VLOOKUP(BA58,Довідник_мінералів!$A:$B,2,0),"-"))</f>
        <v/>
      </c>
      <c r="BC58" s="51" t="n">
        <v>4.4</v>
      </c>
      <c r="BD58" s="51" t="inlineStr">
        <is>
          <t>Ca 0.5%; P 0.5%; Na 1.1%; Mg 0.04%; EPA/DHA 0.21%; підкислювачі: Ca сульфат 0.88%, DL-метіонін 0.6%</t>
        </is>
      </c>
    </row>
    <row r="59" ht="40" customHeight="1">
      <c r="A59" s="46" t="inlineStr">
        <is>
          <t>rc_urinary_so_small_dry_dog</t>
        </is>
      </c>
      <c r="B59" s="46" t="inlineStr">
        <is>
          <t>Royal Canin</t>
        </is>
      </c>
      <c r="C59" s="46" t="inlineStr">
        <is>
          <t>Urinary S/O Small Dog</t>
        </is>
      </c>
      <c r="D59" s="46" t="inlineStr">
        <is>
          <t>Urinary S/O Small Dog (сухий)</t>
        </is>
      </c>
      <c r="E59" s="46" t="inlineStr">
        <is>
          <t>сухий</t>
        </is>
      </c>
      <c r="F59" s="46" t="inlineStr">
        <is>
          <t>собака</t>
        </is>
      </c>
      <c r="G59" s="46" t="inlineStr">
        <is>
          <t>МКХ малі породи</t>
        </is>
      </c>
      <c r="H59" s="46" t="n"/>
      <c r="I59" s="46" t="inlineStr">
        <is>
          <t>https://www.royalcanin.com/ua/dogs/products/vet-products/urinary-so-small-dog-dry</t>
        </is>
      </c>
      <c r="J59" s="46" t="n">
        <v>20</v>
      </c>
      <c r="K59" s="46" t="n">
        <v>17</v>
      </c>
      <c r="L59" s="46" t="n">
        <v>2.3</v>
      </c>
      <c r="M59" s="46" t="n">
        <v>7.3</v>
      </c>
      <c r="N59" s="46" t="n"/>
      <c r="O59">
        <f>IF(J59="","",ROUND(J59/(1-N59/100),1))</f>
        <v/>
      </c>
      <c r="P59">
        <f>IF(K59="","",ROUND(K59/(1-N59/100),1))</f>
        <v/>
      </c>
      <c r="Q59">
        <f>IF(L59="","",ROUND(L59/(1-N59/100),1))</f>
        <v/>
      </c>
      <c r="R59">
        <f>IF(M59="","",ROUND(M59/(1-N59/100),1))</f>
        <v/>
      </c>
      <c r="S59" s="46" t="inlineStr">
        <is>
          <t>Рис, кукурудзяна мука, дегідратовані білки птиці, тваринні жири, кукурудзяна клейковина, гідролізат білків тваринного походження, мінеральні речовини, рослинна клітковина, яєчний порошок, пшенична клейковина (L.I.P.), соєва олія, риб'ячий жир, фруктоолігосахариди</t>
        </is>
      </c>
      <c r="T59" s="46" t="inlineStr">
        <is>
          <t>рис</t>
        </is>
      </c>
      <c r="U59" s="46" t="inlineStr">
        <is>
          <t>дегідратовані білки птиці</t>
        </is>
      </c>
      <c r="V59" s="46" t="inlineStr">
        <is>
          <t>яєчний порошок</t>
        </is>
      </c>
      <c r="W59" s="46" t="n">
        <v>16000</v>
      </c>
      <c r="X59" s="46" t="n">
        <v>1000</v>
      </c>
      <c r="Y59" s="46" t="n"/>
      <c r="Z59" s="46" t="n"/>
      <c r="AA59" s="46" t="n"/>
      <c r="AF59" s="46" t="n">
        <v>148</v>
      </c>
      <c r="AG59" s="46" t="inlineStr">
        <is>
          <t>оксид цинку / сульфат цинку</t>
        </is>
      </c>
      <c r="AK59">
        <f>IF(AF59="","",IF(AH59="",IFERROR(VLOOKUP(AG59,Довідник_мінералів!$A:$B,2,0),"-"),ROUND(IFERROR(VLOOKUP(AG59,Довідник_мінералів!$A:$B,2,0),0)*AH59/100+IFERROR(VLOOKUP(AI59,Довідник_мінералів!$A:$B,2,0),0)*AJ59/100,0)))</f>
        <v/>
      </c>
      <c r="AL59" s="46" t="n">
        <v>47</v>
      </c>
      <c r="AM59" s="46" t="inlineStr">
        <is>
          <t>сульфат заліза(II)</t>
        </is>
      </c>
      <c r="AQ59">
        <f>IF(AL59="","",IF(AN59="",IFERROR(VLOOKUP(AM59,Довідник_мінералів!$A:$B,2,0),"-"),ROUND(IFERROR(VLOOKUP(AM59,Довідник_мінералів!$A:$B,2,0),0)*AN59/100+IFERROR(VLOOKUP(AO59,Довідник_мінералів!$A:$B,2,0),0)*AP59/100,0)))</f>
        <v/>
      </c>
      <c r="AR59" s="46" t="n">
        <v>14</v>
      </c>
      <c r="AS59" s="46" t="inlineStr">
        <is>
          <t>сульфат міді</t>
        </is>
      </c>
      <c r="AU59">
        <f>IF(AR59="","",IFERROR(VLOOKUP(AS59,Довідник_мінералів!$A:$B,2,0),"-"))</f>
        <v/>
      </c>
      <c r="AV59" s="46" t="n">
        <v>61</v>
      </c>
      <c r="AW59" s="46" t="inlineStr">
        <is>
          <t>оксид марганцю</t>
        </is>
      </c>
      <c r="AY59">
        <f>IF(AV59="","",IFERROR(VLOOKUP(AW59,Довідник_мінералів!$A:$B,2,0),"-"))</f>
        <v/>
      </c>
      <c r="AZ59" s="46" t="n">
        <v>0.06</v>
      </c>
      <c r="BA59" s="46" t="inlineStr">
        <is>
          <t>селеніт натрію</t>
        </is>
      </c>
      <c r="BB59">
        <f>IF(SE59="","",IFERROR(VLOOKUP(BA59,Довідник_мінералів!$A:$B,2,0),"-"))</f>
        <v/>
      </c>
      <c r="BC59" s="46" t="n">
        <v>4.7</v>
      </c>
      <c r="BD59" s="46" t="inlineStr">
        <is>
          <t>Ca 0.7%; P 0.7%; Na 1.2%; Mg 0.05%; EPA/DHA 0.22%; підкислювачі: Ca сульфат 0.8%, DL-метіонін 0.45%</t>
        </is>
      </c>
    </row>
    <row r="60" ht="40" customHeight="1">
      <c r="A60" s="51" t="inlineStr">
        <is>
          <t>rc_urinary_uc_dry_dog</t>
        </is>
      </c>
      <c r="B60" s="51" t="inlineStr">
        <is>
          <t>Royal Canin</t>
        </is>
      </c>
      <c r="C60" s="51" t="inlineStr">
        <is>
          <t>Urinary UC</t>
        </is>
      </c>
      <c r="D60" s="51" t="inlineStr">
        <is>
          <t>Urinary UC (сухий)</t>
        </is>
      </c>
      <c r="E60" s="51" t="inlineStr">
        <is>
          <t>сухий</t>
        </is>
      </c>
      <c r="F60" s="51" t="inlineStr">
        <is>
          <t>собака</t>
        </is>
      </c>
      <c r="G60" s="51" t="inlineStr">
        <is>
          <t>МКХ урати + цистинові камені</t>
        </is>
      </c>
      <c r="H60" s="51" t="n"/>
      <c r="I60" s="51" t="inlineStr">
        <is>
          <t>https://www.royalcanin.com/ua/dogs/products/vet-products/urinary-uc</t>
        </is>
      </c>
      <c r="J60" s="51" t="n">
        <v>18</v>
      </c>
      <c r="K60" s="51" t="n">
        <v>15</v>
      </c>
      <c r="L60" s="51" t="n">
        <v>2.2</v>
      </c>
      <c r="M60" s="51" t="n">
        <v>5.3</v>
      </c>
      <c r="N60" s="51" t="n"/>
      <c r="O60">
        <f>IF(J60="","",ROUND(J60/(1-N60/100),1))</f>
        <v/>
      </c>
      <c r="P60">
        <f>IF(K60="","",ROUND(K60/(1-N60/100),1))</f>
        <v/>
      </c>
      <c r="Q60">
        <f>IF(L60="","",ROUND(L60/(1-N60/100),1))</f>
        <v/>
      </c>
      <c r="R60">
        <f>IF(M60="","",ROUND(M60/(1-N60/100),1))</f>
        <v/>
      </c>
      <c r="S60" s="51" t="inlineStr">
        <is>
          <t>Рис, кукурудзяне борошно, пшеничне борошно, тваринні жири, яєчний порошок, пшеничний глютен (L.I.P.), кукурудзяний глютен, мінеральні речовини, рослинна клітковина, риб'ячий жир, соєва олія, фруктоолігосахариди, олія огірочника, екстракт чорнобривців</t>
        </is>
      </c>
      <c r="T60" s="51" t="inlineStr">
        <is>
          <t>яєчний порошок</t>
        </is>
      </c>
      <c r="U60" s="51" t="inlineStr">
        <is>
          <t>пшеничний глютен (L.I.P.)</t>
        </is>
      </c>
      <c r="V60" s="51" t="inlineStr">
        <is>
          <t>кукурудзяний глютен</t>
        </is>
      </c>
      <c r="W60" s="51" t="n">
        <v>30000</v>
      </c>
      <c r="X60" s="51" t="n">
        <v>800</v>
      </c>
      <c r="Y60" s="51" t="n"/>
      <c r="Z60" s="51" t="n"/>
      <c r="AA60" s="51" t="n"/>
      <c r="AF60" s="51" t="n">
        <v>147</v>
      </c>
      <c r="AG60" s="51" t="inlineStr">
        <is>
          <t>оксид цинку / сульфат цинку</t>
        </is>
      </c>
      <c r="AK60">
        <f>IF(AF60="","",IF(AH60="",IFERROR(VLOOKUP(AG60,Довідник_мінералів!$A:$B,2,0),"-"),ROUND(IFERROR(VLOOKUP(AG60,Довідник_мінералів!$A:$B,2,0),0)*AH60/100+IFERROR(VLOOKUP(AI60,Довідник_мінералів!$A:$B,2,0),0)*AJ60/100,0)))</f>
        <v/>
      </c>
      <c r="AL60" s="51" t="n">
        <v>63</v>
      </c>
      <c r="AM60" s="51" t="inlineStr">
        <is>
          <t>сульфат заліза(II)</t>
        </is>
      </c>
      <c r="AQ60">
        <f>IF(AL60="","",IF(AN60="",IFERROR(VLOOKUP(AM60,Довідник_мінералів!$A:$B,2,0),"-"),ROUND(IFERROR(VLOOKUP(AM60,Довідник_мінералів!$A:$B,2,0),0)*AN60/100+IFERROR(VLOOKUP(AO60,Довідник_мінералів!$A:$B,2,0),0)*AP60/100,0)))</f>
        <v/>
      </c>
      <c r="AR60" s="51" t="n">
        <v>14</v>
      </c>
      <c r="AS60" s="51" t="inlineStr">
        <is>
          <t>сульфат міді</t>
        </is>
      </c>
      <c r="AU60">
        <f>IF(AR60="","",IFERROR(VLOOKUP(AS60,Довідник_мінералів!$A:$B,2,0),"-"))</f>
        <v/>
      </c>
      <c r="AV60" s="51" t="n">
        <v>66</v>
      </c>
      <c r="AW60" s="51" t="inlineStr">
        <is>
          <t>оксид марганцю</t>
        </is>
      </c>
      <c r="AY60">
        <f>IF(AV60="","",IFERROR(VLOOKUP(AW60,Довідник_мінералів!$A:$B,2,0),"-"))</f>
        <v/>
      </c>
      <c r="AZ60" s="51" t="n">
        <v>0.16</v>
      </c>
      <c r="BA60" s="51" t="inlineStr">
        <is>
          <t>селеніт натрію</t>
        </is>
      </c>
      <c r="BB60">
        <f>IF(SE60="","",IFERROR(VLOOKUP(BA60,Довідник_мінералів!$A:$B,2,0),"-"))</f>
        <v/>
      </c>
      <c r="BC60" s="51" t="n">
        <v>5.3</v>
      </c>
      <c r="BD60" s="51" t="inlineStr">
        <is>
          <t>Na 0.3%; K 0.9%; підлужувачі: карбонат Ca 1.77%, цитрат K 0.2%; для уратів/цистину; до 1 року</t>
        </is>
      </c>
    </row>
    <row r="61" ht="40" customHeight="1">
      <c r="A61" s="46" t="inlineStr">
        <is>
          <t>rc_diabetic_dry_dog</t>
        </is>
      </c>
      <c r="B61" s="46" t="inlineStr">
        <is>
          <t>Royal Canin</t>
        </is>
      </c>
      <c r="C61" s="46" t="inlineStr">
        <is>
          <t>Diabetic</t>
        </is>
      </c>
      <c r="D61" s="46" t="inlineStr">
        <is>
          <t>Diabetic (сухий)</t>
        </is>
      </c>
      <c r="E61" s="46" t="inlineStr">
        <is>
          <t>сухий</t>
        </is>
      </c>
      <c r="F61" s="46" t="inlineStr">
        <is>
          <t>собака</t>
        </is>
      </c>
      <c r="G61" s="46" t="inlineStr">
        <is>
          <t>цукровий діабет</t>
        </is>
      </c>
      <c r="H61" s="46" t="n"/>
      <c r="I61" s="46" t="inlineStr">
        <is>
          <t>https://www.royalcanin.com/ua/dogs/products/vet-products/diabetic-4086</t>
        </is>
      </c>
      <c r="J61" s="46" t="n">
        <v>37</v>
      </c>
      <c r="K61" s="46" t="n">
        <v>12</v>
      </c>
      <c r="L61" s="46" t="n">
        <v>6.5</v>
      </c>
      <c r="M61" s="46" t="n">
        <v>5.3</v>
      </c>
      <c r="N61" s="46" t="n"/>
      <c r="O61">
        <f>IF(J61="","",ROUND(J61/(1-N61/100),1))</f>
        <v/>
      </c>
      <c r="P61">
        <f>IF(K61="","",ROUND(K61/(1-N61/100),1))</f>
        <v/>
      </c>
      <c r="Q61">
        <f>IF(L61="","",ROUND(L61/(1-N61/100),1))</f>
        <v/>
      </c>
      <c r="R61">
        <f>IF(M61="","",ROUND(M61/(1-N61/100),1))</f>
        <v/>
      </c>
      <c r="S61" s="46" t="inlineStr">
        <is>
          <t>Дегідратовані протеїни м'яса птиці (L.I.P.), рис, пшениця, ячмінь, тваринні жири, кукурудзяний глютен, тапіока, гідролізат білків тваринного походження, рослинна клітковина, мінеральні речовини, риб'ячий жир, соєва олія, оболонка та насіння подорожника, фруктоолігосахариди</t>
        </is>
      </c>
      <c r="T61" s="46" t="inlineStr">
        <is>
          <t>дегідратовані протеїни м'яса птиці (L.I.P.)</t>
        </is>
      </c>
      <c r="U61" s="46" t="inlineStr">
        <is>
          <t>рис</t>
        </is>
      </c>
      <c r="V61" s="46" t="inlineStr">
        <is>
          <t>ячмінь</t>
        </is>
      </c>
      <c r="W61" s="46" t="n">
        <v>15500</v>
      </c>
      <c r="X61" s="46" t="n">
        <v>1000</v>
      </c>
      <c r="Y61" s="46" t="n"/>
      <c r="Z61" s="46" t="n"/>
      <c r="AA61" s="46" t="n"/>
      <c r="AF61" s="46" t="n">
        <v>125</v>
      </c>
      <c r="AG61" s="46" t="inlineStr">
        <is>
          <t>оксид цинку / сульфат цинку</t>
        </is>
      </c>
      <c r="AK61">
        <f>IF(AF61="","",IF(AH61="",IFERROR(VLOOKUP(AG61,Довідник_мінералів!$A:$B,2,0),"-"),ROUND(IFERROR(VLOOKUP(AG61,Довідник_мінералів!$A:$B,2,0),0)*AH61/100+IFERROR(VLOOKUP(AI61,Довідник_мінералів!$A:$B,2,0),0)*AJ61/100,0)))</f>
        <v/>
      </c>
      <c r="AL61" s="46" t="n">
        <v>33</v>
      </c>
      <c r="AM61" s="46" t="inlineStr">
        <is>
          <t>сульфат заліза(II)</t>
        </is>
      </c>
      <c r="AQ61">
        <f>IF(AL61="","",IF(AN61="",IFERROR(VLOOKUP(AM61,Довідник_мінералів!$A:$B,2,0),"-"),ROUND(IFERROR(VLOOKUP(AM61,Довідник_мінералів!$A:$B,2,0),0)*AN61/100+IFERROR(VLOOKUP(AO61,Довідник_мінералів!$A:$B,2,0),0)*AP61/100,0)))</f>
        <v/>
      </c>
      <c r="AR61" s="46" t="n">
        <v>10</v>
      </c>
      <c r="AS61" s="46" t="inlineStr">
        <is>
          <t>сульфат міді</t>
        </is>
      </c>
      <c r="AU61">
        <f>IF(AR61="","",IFERROR(VLOOKUP(AS61,Довідник_мінералів!$A:$B,2,0),"-"))</f>
        <v/>
      </c>
      <c r="AV61" s="46" t="n">
        <v>43</v>
      </c>
      <c r="AW61" s="46" t="inlineStr">
        <is>
          <t>оксид марганцю</t>
        </is>
      </c>
      <c r="AY61">
        <f>IF(AV61="","",IFERROR(VLOOKUP(AW61,Довідник_мінералів!$A:$B,2,0),"-"))</f>
        <v/>
      </c>
      <c r="AZ61" s="46" t="n">
        <v>0.05</v>
      </c>
      <c r="BA61" s="46" t="inlineStr">
        <is>
          <t>селеніт натрію</t>
        </is>
      </c>
      <c r="BB61">
        <f>IF(SE61="","",IFERROR(VLOOKUP(BA61,Довідник_мінералів!$A:$B,2,0),"-"))</f>
        <v/>
      </c>
      <c r="BC61" s="46" t="n">
        <v>3.4</v>
      </c>
      <c r="BD61" s="46" t="inlineStr">
        <is>
          <t>Крохмаль 19.1%; цукри 0.55%; низький ГІ; вуглеводи з ячменю+рису+тапіоки; клітковина 6.5%</t>
        </is>
      </c>
    </row>
    <row r="62" ht="40" customHeight="1">
      <c r="A62" s="51" t="inlineStr">
        <is>
          <t>rc_satiety_dry_dog</t>
        </is>
      </c>
      <c r="B62" s="51" t="inlineStr">
        <is>
          <t>Royal Canin</t>
        </is>
      </c>
      <c r="C62" s="51" t="inlineStr">
        <is>
          <t>Satiety Weight Management</t>
        </is>
      </c>
      <c r="D62" s="51" t="inlineStr">
        <is>
          <t>Satiety Weight Management (сухий)</t>
        </is>
      </c>
      <c r="E62" s="51" t="inlineStr">
        <is>
          <t>сухий</t>
        </is>
      </c>
      <c r="F62" s="51" t="inlineStr">
        <is>
          <t>собака</t>
        </is>
      </c>
      <c r="G62" s="51" t="inlineStr">
        <is>
          <t>ожиріння / зайва вага</t>
        </is>
      </c>
      <c r="H62" s="51" t="n"/>
      <c r="I62" s="51" t="inlineStr">
        <is>
          <t>https://www.royalcanin.com/ua/dogs/products/vet-products/satiety-weight-management-3948</t>
        </is>
      </c>
      <c r="J62" s="51" t="n">
        <v>30</v>
      </c>
      <c r="K62" s="51" t="n">
        <v>9.5</v>
      </c>
      <c r="L62" s="51" t="n">
        <v>17</v>
      </c>
      <c r="M62" s="51" t="n">
        <v>5.8</v>
      </c>
      <c r="N62" s="51" t="n"/>
      <c r="O62">
        <f>IF(J62="","",ROUND(J62/(1-N62/100),1))</f>
        <v/>
      </c>
      <c r="P62">
        <f>IF(K62="","",ROUND(K62/(1-N62/100),1))</f>
        <v/>
      </c>
      <c r="Q62">
        <f>IF(L62="","",ROUND(L62/(1-N62/100),1))</f>
        <v/>
      </c>
      <c r="R62">
        <f>IF(M62="","",ROUND(M62/(1-N62/100),1))</f>
        <v/>
      </c>
      <c r="S62" s="51" t="inlineStr">
        <is>
          <t>Дегідратовані протеїни м'яса птиці (L.I.P.), рис, рослинна клітковина, пшениця, тваринні жири, кукурудзяний глютен, гідролізат білків тваринного походження, мінеральні речовини, риб'ячий жир, соєва олія, оболонка та насіння подорожника, фруктоолігосахариди</t>
        </is>
      </c>
      <c r="T62" s="51" t="inlineStr">
        <is>
          <t>дегідратовані протеїни м'яса птиці (L.I.P.)</t>
        </is>
      </c>
      <c r="U62" s="51" t="inlineStr">
        <is>
          <t>рослинна клітковина</t>
        </is>
      </c>
      <c r="V62" s="51" t="inlineStr">
        <is>
          <t>рис</t>
        </is>
      </c>
      <c r="W62" s="51" t="n">
        <v>19000</v>
      </c>
      <c r="X62" s="51" t="n">
        <v>1000</v>
      </c>
      <c r="Y62" s="51" t="n"/>
      <c r="Z62" s="51" t="n"/>
      <c r="AA62" s="51" t="n"/>
      <c r="AF62" s="51" t="n">
        <v>137</v>
      </c>
      <c r="AG62" s="51" t="inlineStr">
        <is>
          <t>оксид цинку / сульфат цинку</t>
        </is>
      </c>
      <c r="AK62">
        <f>IF(AF62="","",IF(AH62="",IFERROR(VLOOKUP(AG62,Довідник_мінералів!$A:$B,2,0),"-"),ROUND(IFERROR(VLOOKUP(AG62,Довідник_мінералів!$A:$B,2,0),0)*AH62/100+IFERROR(VLOOKUP(AI62,Довідник_мінералів!$A:$B,2,0),0)*AJ62/100,0)))</f>
        <v/>
      </c>
      <c r="AL62" s="51" t="n">
        <v>35</v>
      </c>
      <c r="AM62" s="51" t="inlineStr">
        <is>
          <t>сульфат заліза(II)</t>
        </is>
      </c>
      <c r="AQ62">
        <f>IF(AL62="","",IF(AN62="",IFERROR(VLOOKUP(AM62,Довідник_мінералів!$A:$B,2,0),"-"),ROUND(IFERROR(VLOOKUP(AM62,Довідник_мінералів!$A:$B,2,0),0)*AN62/100+IFERROR(VLOOKUP(AO62,Довідник_мінералів!$A:$B,2,0),0)*AP62/100,0)))</f>
        <v/>
      </c>
      <c r="AR62" s="51" t="n">
        <v>11</v>
      </c>
      <c r="AS62" s="51" t="inlineStr">
        <is>
          <t>сульфат міді</t>
        </is>
      </c>
      <c r="AU62">
        <f>IF(AR62="","",IFERROR(VLOOKUP(AS62,Довідник_мінералів!$A:$B,2,0),"-"))</f>
        <v/>
      </c>
      <c r="AV62" s="51" t="n">
        <v>46</v>
      </c>
      <c r="AW62" s="51" t="inlineStr">
        <is>
          <t>оксид марганцю</t>
        </is>
      </c>
      <c r="AY62">
        <f>IF(AV62="","",IFERROR(VLOOKUP(AW62,Довідник_мінералів!$A:$B,2,0),"-"))</f>
        <v/>
      </c>
      <c r="AZ62" s="51" t="n">
        <v>0.06</v>
      </c>
      <c r="BA62" s="51" t="inlineStr">
        <is>
          <t>селеніт натрію</t>
        </is>
      </c>
      <c r="BB62">
        <f>IF(SE62="","",IFERROR(VLOOKUP(BA62,Довідник_мінералів!$A:$B,2,0),"-"))</f>
        <v/>
      </c>
      <c r="BC62" s="51" t="n">
        <v>3.5</v>
      </c>
      <c r="BD62" s="51" t="inlineStr">
        <is>
          <t>ДУЖЕ ВИСОКА клітковина 17%; L.I.P. білки; S/O index; L-карнітин</t>
        </is>
      </c>
    </row>
    <row r="63" ht="40" customHeight="1">
      <c r="A63" s="46" t="inlineStr">
        <is>
          <t>farm_nd_prime_chicken_adult_cat</t>
        </is>
      </c>
      <c r="B63" s="46" t="inlineStr">
        <is>
          <t>Farmina</t>
        </is>
      </c>
      <c r="C63" s="46" t="inlineStr">
        <is>
          <t>N&amp;D Prime GF</t>
        </is>
      </c>
      <c r="D63" s="46" t="inlineStr">
        <is>
          <t>N&amp;D Prime Chicken &amp; Pomegranate Adult (сухий)</t>
        </is>
      </c>
      <c r="E63" s="46" t="inlineStr">
        <is>
          <t>сухий</t>
        </is>
      </c>
      <c r="F63" s="46" t="inlineStr">
        <is>
          <t>кіт</t>
        </is>
      </c>
      <c r="G63" s="46" t="inlineStr">
        <is>
          <t>здоровий дорослий</t>
        </is>
      </c>
      <c r="H63" s="46" t="n">
        <v>4178</v>
      </c>
      <c r="I63" s="46" t="inlineStr">
        <is>
          <t>https://www.farmina.com/ua</t>
        </is>
      </c>
      <c r="J63" s="46" t="n">
        <v>42</v>
      </c>
      <c r="K63" s="46" t="n">
        <v>20</v>
      </c>
      <c r="L63" s="46" t="n">
        <v>1.8</v>
      </c>
      <c r="M63" s="46" t="n">
        <v>8.9</v>
      </c>
      <c r="N63" s="46" t="n">
        <v>8</v>
      </c>
      <c r="O63">
        <f>IF(J63="","",ROUND(J63/(1-N63/100),1))</f>
        <v/>
      </c>
      <c r="P63">
        <f>IF(K63="","",ROUND(K63/(1-N63/100),1))</f>
        <v/>
      </c>
      <c r="Q63">
        <f>IF(L63="","",ROUND(L63/(1-N63/100),1))</f>
        <v/>
      </c>
      <c r="R63">
        <f>IF(M63="","",ROUND(M63/(1-N63/100),1))</f>
        <v/>
      </c>
      <c r="S63" s="46" t="inlineStr">
        <is>
          <t>Свіже м'ясо курки без кісток (28%), дегідратоване м'ясо курки (26%), картопля, курячий жир, дегідратовані цілі яйця, свіжий оселедець, дегідратований оселедець, риб'ячий жир, гідролізат тваринних білків, волокна гороху, сушена морква, сушена люцерна, інулін, ФОС, МОС, порошок граната (0.5%), подорожник (0.3%), хлорид натрію, дріжджі пивні, куркума (0.2%), глюкозамін, хондроїтин сульфат, екстракт календули</t>
        </is>
      </c>
      <c r="T63" s="46" t="inlineStr">
        <is>
          <t>свіже м'ясо курки без кісток (28%)</t>
        </is>
      </c>
      <c r="U63" s="46" t="inlineStr">
        <is>
          <t>дегідратоване м'ясо курки (26%)</t>
        </is>
      </c>
      <c r="V63" s="46" t="inlineStr">
        <is>
          <t>яйця</t>
        </is>
      </c>
      <c r="W63" s="46" t="n">
        <v>18000</v>
      </c>
      <c r="X63" s="46" t="n">
        <v>1200</v>
      </c>
      <c r="Y63" s="46" t="n">
        <v>600</v>
      </c>
      <c r="Z63" s="46" t="n">
        <v>300</v>
      </c>
      <c r="AA63" s="46" t="n">
        <v>5000</v>
      </c>
      <c r="AB63" s="46" t="n">
        <v>20</v>
      </c>
      <c r="AC63" s="46" t="n">
        <v>8.1</v>
      </c>
      <c r="AD63" s="46" t="n">
        <v>10</v>
      </c>
      <c r="AE63" s="46" t="n">
        <v>0.1</v>
      </c>
      <c r="AF63" s="46" t="n">
        <v>163.8</v>
      </c>
      <c r="AG63" s="46" t="inlineStr">
        <is>
          <t>хелат цинку гідрокси-аналогу метіоніну</t>
        </is>
      </c>
      <c r="AH63" s="46" t="n"/>
      <c r="AK63">
        <f>IF(AF63="","",IF(AH63="",IFERROR(VLOOKUP(AG63,Довідник_мінералів!$A:$B,2,0),"-"),ROUND(IFERROR(VLOOKUP(AG63,Довідник_мінералів!$A:$B,2,0),0)*AH63/100+IFERROR(VLOOKUP(AI63,Довідник_мінералів!$A:$B,2,0),0)*AJ63/100,0)))</f>
        <v/>
      </c>
      <c r="AL63" s="46" t="n">
        <v>58.3</v>
      </c>
      <c r="AM63" s="46" t="inlineStr">
        <is>
          <t>хелат заліза гідрату гліцину</t>
        </is>
      </c>
      <c r="AN63" s="46" t="n"/>
      <c r="AQ63">
        <f>IF(AL63="","",IF(AN63="",IFERROR(VLOOKUP(AM63,Довідник_мінералів!$A:$B,2,0),"-"),ROUND(IFERROR(VLOOKUP(AM63,Довідник_мінералів!$A:$B,2,0),0)*AN63/100+IFERROR(VLOOKUP(AO63,Довідник_мінералів!$A:$B,2,0),0)*AP63/100,0)))</f>
        <v/>
      </c>
      <c r="AR63" s="46" t="n">
        <v>15.8</v>
      </c>
      <c r="AS63" s="46" t="inlineStr">
        <is>
          <t>хелат міді гідрокси-аналогу метіоніну</t>
        </is>
      </c>
      <c r="AT63" s="46" t="n"/>
      <c r="AU63">
        <f>IF(AR63="","",IFERROR(VLOOKUP(AS63,Довідник_мінералів!$A:$B,2,0),"-"))</f>
        <v/>
      </c>
      <c r="AV63" s="46" t="n">
        <v>64.59999999999999</v>
      </c>
      <c r="AW63" s="46" t="inlineStr">
        <is>
          <t>хелат марганцю гідрокси-аналогу метіоніну</t>
        </is>
      </c>
      <c r="AX63" s="46" t="n"/>
      <c r="AY63">
        <f>IF(AV63="","",IFERROR(VLOOKUP(AW63,Довідник_мінералів!$A:$B,2,0),"-"))</f>
        <v/>
      </c>
      <c r="AZ63" s="46" t="n">
        <v>0.4</v>
      </c>
      <c r="BA63" s="46" t="inlineStr">
        <is>
          <t>селенометіонін</t>
        </is>
      </c>
      <c r="BB63" s="46">
        <f>IF(SE63="","",IFERROR(VLOOKUP(BA63,Довідник_мінералів!$A:$B,2,0),"-"))</f>
        <v/>
      </c>
      <c r="BC63" s="46" t="n"/>
      <c r="BD63" s="46" t="inlineStr">
        <is>
          <t>Ca 1.6%; P 1.3%; Mg 0.11%; Омега-6 3.4%; Омега-3 0.9%; DHA 0.5%; EPA 0.3%; глюкозамін 1200 мг/кг; хондроїтин 900 мг/кг; куркума; алое вера</t>
        </is>
      </c>
    </row>
    <row r="64" ht="40" customHeight="1">
      <c r="A64" s="52" t="inlineStr">
        <is>
          <t>farm_nd_prime_lamb_adult_cat</t>
        </is>
      </c>
      <c r="B64" s="52" t="inlineStr">
        <is>
          <t>Farmina</t>
        </is>
      </c>
      <c r="C64" s="52" t="inlineStr">
        <is>
          <t>N&amp;D Prime GF</t>
        </is>
      </c>
      <c r="D64" s="52" t="inlineStr">
        <is>
          <t>N&amp;D Prime Lamb &amp; Blueberry Adult (сухий)</t>
        </is>
      </c>
      <c r="E64" s="52" t="inlineStr">
        <is>
          <t>сухий</t>
        </is>
      </c>
      <c r="F64" s="52" t="inlineStr">
        <is>
          <t>кіт</t>
        </is>
      </c>
      <c r="G64" s="52" t="inlineStr">
        <is>
          <t>здоровий дорослий / алергія на птицю</t>
        </is>
      </c>
      <c r="H64" s="52" t="n">
        <v>4178</v>
      </c>
      <c r="I64" s="52" t="inlineStr">
        <is>
          <t>https://www.farmina.com/ua</t>
        </is>
      </c>
      <c r="J64" s="52" t="n">
        <v>42</v>
      </c>
      <c r="K64" s="52" t="n">
        <v>20</v>
      </c>
      <c r="L64" s="52" t="n">
        <v>1.8</v>
      </c>
      <c r="M64" s="52" t="n">
        <v>8.9</v>
      </c>
      <c r="N64" s="52" t="n">
        <v>8</v>
      </c>
      <c r="O64">
        <f>IF(J64="","",ROUND(J64/(1-N64/100),1))</f>
        <v/>
      </c>
      <c r="P64">
        <f>IF(K64="","",ROUND(K64/(1-N64/100),1))</f>
        <v/>
      </c>
      <c r="Q64">
        <f>IF(L64="","",ROUND(L64/(1-N64/100),1))</f>
        <v/>
      </c>
      <c r="R64">
        <f>IF(M64="","",ROUND(M64/(1-N64/100),1))</f>
        <v/>
      </c>
      <c r="S64" s="52" t="inlineStr">
        <is>
          <t>Свіже м'ясо ягняти без кісток (28%), дегідратоване м'ясо ягняти (26%), картопля, курячий жир, дегідратовані цілі яйця, свіжий оселедець, дегідратований оселедець, риб'ячий жир, гідролізат тваринних білків, волокна гороху, сушена морква, сушена люцерна, інулін, ФОС, МОС, порошок чорниці (0.5%), подорожник (0.3%), куркума (0.2%), глюкозамін, хондроїтин сульфат</t>
        </is>
      </c>
      <c r="T64" s="52" t="inlineStr">
        <is>
          <t>свіже м'ясо ягняти без кісток (28%)</t>
        </is>
      </c>
      <c r="U64" s="52" t="inlineStr">
        <is>
          <t>дегідратоване м'ясо ягняти (26%)</t>
        </is>
      </c>
      <c r="V64" s="52" t="inlineStr">
        <is>
          <t>яйця</t>
        </is>
      </c>
      <c r="W64" s="52" t="n">
        <v>18000</v>
      </c>
      <c r="X64" s="52" t="n">
        <v>1200</v>
      </c>
      <c r="Y64" s="52" t="n">
        <v>600</v>
      </c>
      <c r="Z64" s="52" t="n">
        <v>300</v>
      </c>
      <c r="AA64" s="52" t="n">
        <v>5000</v>
      </c>
      <c r="AB64" s="52" t="n">
        <v>20</v>
      </c>
      <c r="AC64" s="52" t="n">
        <v>8.1</v>
      </c>
      <c r="AD64" s="52" t="n">
        <v>10</v>
      </c>
      <c r="AE64" s="52" t="n">
        <v>0.1</v>
      </c>
      <c r="AF64" s="52" t="n">
        <v>163.8</v>
      </c>
      <c r="AG64" s="52" t="inlineStr">
        <is>
          <t>хелат цинку гідрокси-аналогу метіоніну</t>
        </is>
      </c>
      <c r="AH64" s="52" t="n"/>
      <c r="AK64">
        <f>IF(AF64="","",IF(AH64="",IFERROR(VLOOKUP(AG64,Довідник_мінералів!$A:$B,2,0),"-"),ROUND(IFERROR(VLOOKUP(AG64,Довідник_мінералів!$A:$B,2,0),0)*AH64/100+IFERROR(VLOOKUP(AI64,Довідник_мінералів!$A:$B,2,0),0)*AJ64/100,0)))</f>
        <v/>
      </c>
      <c r="AL64" s="52" t="n">
        <v>58.3</v>
      </c>
      <c r="AM64" s="52" t="inlineStr">
        <is>
          <t>хелат заліза гідрату гліцину</t>
        </is>
      </c>
      <c r="AN64" s="52" t="n"/>
      <c r="AQ64">
        <f>IF(AL64="","",IF(AN64="",IFERROR(VLOOKUP(AM64,Довідник_мінералів!$A:$B,2,0),"-"),ROUND(IFERROR(VLOOKUP(AM64,Довідник_мінералів!$A:$B,2,0),0)*AN64/100+IFERROR(VLOOKUP(AO64,Довідник_мінералів!$A:$B,2,0),0)*AP64/100,0)))</f>
        <v/>
      </c>
      <c r="AR64" s="52" t="n">
        <v>15.8</v>
      </c>
      <c r="AS64" s="52" t="inlineStr">
        <is>
          <t>хелат міді гідрокси-аналогу метіоніну</t>
        </is>
      </c>
      <c r="AT64" s="52" t="n"/>
      <c r="AU64">
        <f>IF(AR64="","",IFERROR(VLOOKUP(AS64,Довідник_мінералів!$A:$B,2,0),"-"))</f>
        <v/>
      </c>
      <c r="AV64" s="52" t="n">
        <v>64.59999999999999</v>
      </c>
      <c r="AW64" s="52" t="inlineStr">
        <is>
          <t>хелат марганцю гідрокси-аналогу метіоніну</t>
        </is>
      </c>
      <c r="AX64" s="52" t="n"/>
      <c r="AY64">
        <f>IF(AV64="","",IFERROR(VLOOKUP(AW64,Довідник_мінералів!$A:$B,2,0),"-"))</f>
        <v/>
      </c>
      <c r="AZ64" s="52" t="n">
        <v>0.4</v>
      </c>
      <c r="BA64" s="52" t="inlineStr">
        <is>
          <t>селенометіонін</t>
        </is>
      </c>
      <c r="BB64" s="52">
        <f>IF(SE64="","",IFERROR(VLOOKUP(BA64,Довідник_мінералів!$A:$B,2,0),"-"))</f>
        <v/>
      </c>
      <c r="BC64" s="52" t="n"/>
      <c r="BD64" s="52" t="inlineStr">
        <is>
          <t>Ca 1.6%; P 1.3%; Омега-6 3.4%; Омега-3 0.9%; DHA 0.5%; EPA 0.3%; НОВЕЛЬНИЙ БІЛОК для алергіків</t>
        </is>
      </c>
    </row>
    <row r="65" ht="40" customHeight="1">
      <c r="A65" s="46" t="inlineStr">
        <is>
          <t>farm_nd_prime_neutered_cat</t>
        </is>
      </c>
      <c r="B65" s="46" t="inlineStr">
        <is>
          <t>Farmina</t>
        </is>
      </c>
      <c r="C65" s="46" t="inlineStr">
        <is>
          <t>N&amp;D Prime GF</t>
        </is>
      </c>
      <c r="D65" s="46" t="inlineStr">
        <is>
          <t>N&amp;D Prime Chicken Neutered Adult (сухий)</t>
        </is>
      </c>
      <c r="E65" s="46" t="inlineStr">
        <is>
          <t>сухий</t>
        </is>
      </c>
      <c r="F65" s="46" t="inlineStr">
        <is>
          <t>кіт</t>
        </is>
      </c>
      <c r="G65" s="46" t="inlineStr">
        <is>
          <t>стерилізовані</t>
        </is>
      </c>
      <c r="H65" s="46" t="n">
        <v>4178</v>
      </c>
      <c r="I65" s="46" t="inlineStr">
        <is>
          <t>https://www.farmina.com/ua</t>
        </is>
      </c>
      <c r="J65" s="46" t="n">
        <v>46</v>
      </c>
      <c r="K65" s="46" t="n">
        <v>11</v>
      </c>
      <c r="L65" s="46" t="n">
        <v>5.1</v>
      </c>
      <c r="M65" s="46" t="n">
        <v>8.9</v>
      </c>
      <c r="N65" s="46" t="n">
        <v>8</v>
      </c>
      <c r="O65">
        <f>IF(J65="","",ROUND(J65/(1-N65/100),1))</f>
        <v/>
      </c>
      <c r="P65">
        <f>IF(K65="","",ROUND(K65/(1-N65/100),1))</f>
        <v/>
      </c>
      <c r="Q65">
        <f>IF(L65="","",ROUND(L65/(1-N65/100),1))</f>
        <v/>
      </c>
      <c r="R65">
        <f>IF(M65="","",ROUND(M65/(1-N65/100),1))</f>
        <v/>
      </c>
      <c r="S65" s="46" t="inlineStr">
        <is>
          <t>Свіже куряче філе (30%), дегідратоване куряче м'ясо (28%), картопля, курячий жир, дегідратовані цілі яйця, свіжий оселедець, дегідратований оселедець, риб'ячий жир, гідролізат тваринного білка, волокна гороху, сушена морква, сушена люцерна, інулін, ФОС, МОС, порошок граната (0.5%), подорожник (0.3%), порошок чорниці, куркума (0.2%), глюкозамін, хондроїтин сульфат</t>
        </is>
      </c>
      <c r="T65" s="46" t="inlineStr">
        <is>
          <t>свіже куряче філе (30%)</t>
        </is>
      </c>
      <c r="U65" s="46" t="inlineStr">
        <is>
          <t>дегідратоване куряче м'ясо (28%)</t>
        </is>
      </c>
      <c r="V65" s="46" t="inlineStr">
        <is>
          <t>яйця</t>
        </is>
      </c>
      <c r="W65" s="46" t="n">
        <v>18000</v>
      </c>
      <c r="X65" s="46" t="n">
        <v>1200</v>
      </c>
      <c r="Y65" s="46" t="n">
        <v>600</v>
      </c>
      <c r="Z65" s="46" t="n">
        <v>300</v>
      </c>
      <c r="AA65" s="46" t="n">
        <v>5000</v>
      </c>
      <c r="AB65" s="46" t="n">
        <v>20</v>
      </c>
      <c r="AC65" s="46" t="n">
        <v>8.1</v>
      </c>
      <c r="AD65" s="46" t="n">
        <v>10</v>
      </c>
      <c r="AE65" s="46" t="n">
        <v>0.1</v>
      </c>
      <c r="AF65" s="46" t="n">
        <v>163.8</v>
      </c>
      <c r="AG65" s="46" t="inlineStr">
        <is>
          <t>хелат цинку гідрокси-аналогу метіоніну</t>
        </is>
      </c>
      <c r="AH65" s="46" t="n"/>
      <c r="AK65">
        <f>IF(AF65="","",IF(AH65="",IFERROR(VLOOKUP(AG65,Довідник_мінералів!$A:$B,2,0),"-"),ROUND(IFERROR(VLOOKUP(AG65,Довідник_мінералів!$A:$B,2,0),0)*AH65/100+IFERROR(VLOOKUP(AI65,Довідник_мінералів!$A:$B,2,0),0)*AJ65/100,0)))</f>
        <v/>
      </c>
      <c r="AL65" s="46" t="n">
        <v>58.3</v>
      </c>
      <c r="AM65" s="46" t="inlineStr">
        <is>
          <t>хелат заліза гідрату гліцину</t>
        </is>
      </c>
      <c r="AN65" s="46" t="n"/>
      <c r="AQ65">
        <f>IF(AL65="","",IF(AN65="",IFERROR(VLOOKUP(AM65,Довідник_мінералів!$A:$B,2,0),"-"),ROUND(IFERROR(VLOOKUP(AM65,Довідник_мінералів!$A:$B,2,0),0)*AN65/100+IFERROR(VLOOKUP(AO65,Довідник_мінералів!$A:$B,2,0),0)*AP65/100,0)))</f>
        <v/>
      </c>
      <c r="AR65" s="46" t="n">
        <v>15.8</v>
      </c>
      <c r="AS65" s="46" t="inlineStr">
        <is>
          <t>хелат міді гідрокси-аналогу метіоніну</t>
        </is>
      </c>
      <c r="AT65" s="46" t="n"/>
      <c r="AU65">
        <f>IF(AR65="","",IFERROR(VLOOKUP(AS65,Довідник_мінералів!$A:$B,2,0),"-"))</f>
        <v/>
      </c>
      <c r="AV65" s="46" t="n">
        <v>64.59999999999999</v>
      </c>
      <c r="AW65" s="46" t="inlineStr">
        <is>
          <t>хелат марганцю гідрокси-аналогу метіоніну</t>
        </is>
      </c>
      <c r="AX65" s="46" t="n"/>
      <c r="AY65">
        <f>IF(AV65="","",IFERROR(VLOOKUP(AW65,Довідник_мінералів!$A:$B,2,0),"-"))</f>
        <v/>
      </c>
      <c r="AZ65" s="46" t="n">
        <v>0.4</v>
      </c>
      <c r="BA65" s="46" t="inlineStr">
        <is>
          <t>селенометіонін</t>
        </is>
      </c>
      <c r="BB65" s="46">
        <f>IF(SE65="","",IFERROR(VLOOKUP(BA65,Довідник_мінералів!$A:$B,2,0),"-"))</f>
        <v/>
      </c>
      <c r="BC65" s="46" t="n"/>
      <c r="BD65" s="46" t="inlineStr">
        <is>
          <t>Ca 1.5%; P 1.3%; Mg 0.09%; Омега-6 2.0%; Омега-3 0.45%; DHA 0.3%; EPA 0.1%; глюкозамін; хондроїтин; ЗНИЖЕНИЙ ЖИР для стерилізованих</t>
        </is>
      </c>
    </row>
    <row r="66" ht="40" customHeight="1">
      <c r="A66" s="52" t="inlineStr">
        <is>
          <t>farm_nd_prime_kitten_cat</t>
        </is>
      </c>
      <c r="B66" s="52" t="inlineStr">
        <is>
          <t>Farmina</t>
        </is>
      </c>
      <c r="C66" s="52" t="inlineStr">
        <is>
          <t>N&amp;D Prime GF</t>
        </is>
      </c>
      <c r="D66" s="52" t="inlineStr">
        <is>
          <t>N&amp;D Prime Chicken Kitten (сухий)</t>
        </is>
      </c>
      <c r="E66" s="52" t="inlineStr">
        <is>
          <t>сухий</t>
        </is>
      </c>
      <c r="F66" s="52" t="inlineStr">
        <is>
          <t>кіт</t>
        </is>
      </c>
      <c r="G66" s="52" t="inlineStr">
        <is>
          <t>кошенята</t>
        </is>
      </c>
      <c r="H66" s="52" t="n"/>
      <c r="I66" s="52" t="inlineStr">
        <is>
          <t>https://www.farmina.com/ua</t>
        </is>
      </c>
      <c r="J66" s="52" t="n">
        <v>44</v>
      </c>
      <c r="K66" s="52" t="n">
        <v>19</v>
      </c>
      <c r="L66" s="52" t="n">
        <v>1.8</v>
      </c>
      <c r="M66" s="52" t="n">
        <v>8.5</v>
      </c>
      <c r="N66" s="52" t="n">
        <v>8</v>
      </c>
      <c r="O66">
        <f>IF(J66="","",ROUND(J66/(1-N66/100),1))</f>
        <v/>
      </c>
      <c r="P66">
        <f>IF(K66="","",ROUND(K66/(1-N66/100),1))</f>
        <v/>
      </c>
      <c r="Q66">
        <f>IF(L66="","",ROUND(L66/(1-N66/100),1))</f>
        <v/>
      </c>
      <c r="R66">
        <f>IF(M66="","",ROUND(M66/(1-N66/100),1))</f>
        <v/>
      </c>
      <c r="S66" s="52" t="inlineStr">
        <is>
          <t>Свіже куряче філе (28%), дегідратоване куряче м'ясо (26%), картопля, курячий жир, дегідратовані цілі яйця, свіжий оселедець, дегідратований оселедець, риб'ячий жир, волокна гороху, сушена морква, сушена люцерна, інулін, ФОС, МОС</t>
        </is>
      </c>
      <c r="T66" s="52" t="inlineStr">
        <is>
          <t>свіже куряче філе (28%)</t>
        </is>
      </c>
      <c r="U66" s="52" t="inlineStr">
        <is>
          <t>дегідратоване куряче м'ясо (26%)</t>
        </is>
      </c>
      <c r="V66" s="52" t="inlineStr">
        <is>
          <t>яйця</t>
        </is>
      </c>
      <c r="W66" s="52" t="n">
        <v>18000</v>
      </c>
      <c r="X66" s="52" t="n">
        <v>1200</v>
      </c>
      <c r="Y66" s="52" t="n">
        <v>600</v>
      </c>
      <c r="Z66" s="52" t="n">
        <v>300</v>
      </c>
      <c r="AA66" s="52" t="n">
        <v>5000</v>
      </c>
      <c r="AB66" s="52" t="n">
        <v>20</v>
      </c>
      <c r="AC66" s="52" t="n">
        <v>8.1</v>
      </c>
      <c r="AD66" s="52" t="n">
        <v>10</v>
      </c>
      <c r="AE66" s="52" t="n">
        <v>0.1</v>
      </c>
      <c r="AF66" s="52" t="n">
        <v>163.8</v>
      </c>
      <c r="AG66" s="52" t="inlineStr">
        <is>
          <t>хелат цинку гідрокси-аналогу метіоніну</t>
        </is>
      </c>
      <c r="AH66" s="52" t="n"/>
      <c r="AK66">
        <f>IF(AF66="","",IF(AH66="",IFERROR(VLOOKUP(AG66,Довідник_мінералів!$A:$B,2,0),"-"),ROUND(IFERROR(VLOOKUP(AG66,Довідник_мінералів!$A:$B,2,0),0)*AH66/100+IFERROR(VLOOKUP(AI66,Довідник_мінералів!$A:$B,2,0),0)*AJ66/100,0)))</f>
        <v/>
      </c>
      <c r="AL66" s="52" t="n">
        <v>58.3</v>
      </c>
      <c r="AM66" s="52" t="inlineStr">
        <is>
          <t>хелат заліза гідрату гліцину</t>
        </is>
      </c>
      <c r="AN66" s="52" t="n"/>
      <c r="AQ66">
        <f>IF(AL66="","",IF(AN66="",IFERROR(VLOOKUP(AM66,Довідник_мінералів!$A:$B,2,0),"-"),ROUND(IFERROR(VLOOKUP(AM66,Довідник_мінералів!$A:$B,2,0),0)*AN66/100+IFERROR(VLOOKUP(AO66,Довідник_мінералів!$A:$B,2,0),0)*AP66/100,0)))</f>
        <v/>
      </c>
      <c r="AR66" s="52" t="n">
        <v>15.8</v>
      </c>
      <c r="AS66" s="52" t="inlineStr">
        <is>
          <t>хелат міді гідрокси-аналогу метіоніну</t>
        </is>
      </c>
      <c r="AT66" s="52" t="n"/>
      <c r="AU66">
        <f>IF(AR66="","",IFERROR(VLOOKUP(AS66,Довідник_мінералів!$A:$B,2,0),"-"))</f>
        <v/>
      </c>
      <c r="AV66" s="52" t="n">
        <v>64.59999999999999</v>
      </c>
      <c r="AW66" s="52" t="inlineStr">
        <is>
          <t>хелат марганцю гідрокси-аналогу метіоніну</t>
        </is>
      </c>
      <c r="AX66" s="52" t="n"/>
      <c r="AY66">
        <f>IF(AV66="","",IFERROR(VLOOKUP(AW66,Довідник_мінералів!$A:$B,2,0),"-"))</f>
        <v/>
      </c>
      <c r="AZ66" s="52" t="n">
        <v>0.4</v>
      </c>
      <c r="BA66" s="52" t="inlineStr">
        <is>
          <t>селенометіонін</t>
        </is>
      </c>
      <c r="BB66" s="52">
        <f>IF(SE66="","",IFERROR(VLOOKUP(BA66,Довідник_мінералів!$A:$B,2,0),"-"))</f>
        <v/>
      </c>
      <c r="BC66" s="52" t="n"/>
      <c r="BD66" s="52" t="inlineStr">
        <is>
          <t>Ca 1.5%; P 1.1%; DHA з риб'ячого жиру; підвищений Ca/P для росту</t>
        </is>
      </c>
    </row>
    <row r="67" ht="40" customHeight="1">
      <c r="A67" s="46" t="inlineStr">
        <is>
          <t>farm_nd_quinoa_digest_cat</t>
        </is>
      </c>
      <c r="B67" s="46" t="inlineStr">
        <is>
          <t>Farmina</t>
        </is>
      </c>
      <c r="C67" s="46" t="inlineStr">
        <is>
          <t>N&amp;D Quinoa</t>
        </is>
      </c>
      <c r="D67" s="46" t="inlineStr">
        <is>
          <t>N&amp;D Quinoa Digestion Lamb (сухий)</t>
        </is>
      </c>
      <c r="E67" s="46" t="inlineStr">
        <is>
          <t>сухий</t>
        </is>
      </c>
      <c r="F67" s="46" t="inlineStr">
        <is>
          <t>кіт</t>
        </is>
      </c>
      <c r="G67" s="46" t="inlineStr">
        <is>
          <t>ШКТ / чутливе травлення</t>
        </is>
      </c>
      <c r="H67" s="46" t="n">
        <v>4178</v>
      </c>
      <c r="I67" s="46" t="inlineStr">
        <is>
          <t>https://www.farmina.com/ua</t>
        </is>
      </c>
      <c r="J67" s="46" t="n">
        <v>42</v>
      </c>
      <c r="K67" s="46" t="n">
        <v>20</v>
      </c>
      <c r="L67" s="46" t="n">
        <v>1.8</v>
      </c>
      <c r="M67" s="46" t="n">
        <v>8.9</v>
      </c>
      <c r="N67" s="46" t="n">
        <v>8</v>
      </c>
      <c r="O67">
        <f>IF(J67="","",ROUND(J67/(1-N67/100),1))</f>
        <v/>
      </c>
      <c r="P67">
        <f>IF(K67="","",ROUND(K67/(1-N67/100),1))</f>
        <v/>
      </c>
      <c r="Q67">
        <f>IF(L67="","",ROUND(L67/(1-N67/100),1))</f>
        <v/>
      </c>
      <c r="R67">
        <f>IF(M67="","",ROUND(M67/(1-N67/100),1))</f>
        <v/>
      </c>
      <c r="S67" s="46" t="inlineStr">
        <is>
          <t>Свіже м'ясо ягняти без кісток (28%), дегідратоване м'ясо ягняти (26%), картопля, курячий жир, екстракт насіння кіноа, яйця, риб'ячий жир, волокна гороху, артишок, фенхель, м'ята, ФОС, МОС, інулін, куркума</t>
        </is>
      </c>
      <c r="T67" s="46" t="inlineStr">
        <is>
          <t>свіже м'ясо ягняти без кісток (28%)</t>
        </is>
      </c>
      <c r="U67" s="46" t="inlineStr">
        <is>
          <t>дегідратоване м'ясо ягняти (26%)</t>
        </is>
      </c>
      <c r="V67" s="46" t="inlineStr">
        <is>
          <t>кіноа</t>
        </is>
      </c>
      <c r="W67" s="46" t="n">
        <v>18000</v>
      </c>
      <c r="X67" s="46" t="n">
        <v>1200</v>
      </c>
      <c r="Y67" s="46" t="n">
        <v>600</v>
      </c>
      <c r="Z67" s="46" t="n">
        <v>300</v>
      </c>
      <c r="AA67" s="46" t="n">
        <v>5000</v>
      </c>
      <c r="AB67" s="46" t="n">
        <v>20</v>
      </c>
      <c r="AC67" s="46" t="n">
        <v>8.1</v>
      </c>
      <c r="AD67" s="46" t="n">
        <v>10</v>
      </c>
      <c r="AE67" s="46" t="n">
        <v>0.1</v>
      </c>
      <c r="AF67" s="46" t="n">
        <v>163.8</v>
      </c>
      <c r="AG67" s="46" t="inlineStr">
        <is>
          <t>хелат цинку гідрокси-аналогу метіоніну</t>
        </is>
      </c>
      <c r="AH67" s="46" t="n"/>
      <c r="AK67">
        <f>IF(AF67="","",IF(AH67="",IFERROR(VLOOKUP(AG67,Довідник_мінералів!$A:$B,2,0),"-"),ROUND(IFERROR(VLOOKUP(AG67,Довідник_мінералів!$A:$B,2,0),0)*AH67/100+IFERROR(VLOOKUP(AI67,Довідник_мінералів!$A:$B,2,0),0)*AJ67/100,0)))</f>
        <v/>
      </c>
      <c r="AL67" s="46" t="n">
        <v>58.3</v>
      </c>
      <c r="AM67" s="46" t="inlineStr">
        <is>
          <t>хелат заліза гідрату гліцину</t>
        </is>
      </c>
      <c r="AN67" s="46" t="n"/>
      <c r="AQ67">
        <f>IF(AL67="","",IF(AN67="",IFERROR(VLOOKUP(AM67,Довідник_мінералів!$A:$B,2,0),"-"),ROUND(IFERROR(VLOOKUP(AM67,Довідник_мінералів!$A:$B,2,0),0)*AN67/100+IFERROR(VLOOKUP(AO67,Довідник_мінералів!$A:$B,2,0),0)*AP67/100,0)))</f>
        <v/>
      </c>
      <c r="AR67" s="46" t="n">
        <v>15.8</v>
      </c>
      <c r="AS67" s="46" t="inlineStr">
        <is>
          <t>хелат міді гідрокси-аналогу метіоніну</t>
        </is>
      </c>
      <c r="AT67" s="46" t="n"/>
      <c r="AU67">
        <f>IF(AR67="","",IFERROR(VLOOKUP(AS67,Довідник_мінералів!$A:$B,2,0),"-"))</f>
        <v/>
      </c>
      <c r="AV67" s="46" t="n">
        <v>64.59999999999999</v>
      </c>
      <c r="AW67" s="46" t="inlineStr">
        <is>
          <t>хелат марганцю гідрокси-аналогу метіоніну</t>
        </is>
      </c>
      <c r="AX67" s="46" t="n"/>
      <c r="AY67">
        <f>IF(AV67="","",IFERROR(VLOOKUP(AW67,Довідник_мінералів!$A:$B,2,0),"-"))</f>
        <v/>
      </c>
      <c r="AZ67" s="46" t="n">
        <v>0.4</v>
      </c>
      <c r="BA67" s="46" t="inlineStr">
        <is>
          <t>селенометіонін</t>
        </is>
      </c>
      <c r="BB67" s="46">
        <f>IF(SE67="","",IFERROR(VLOOKUP(BA67,Довідник_мінералів!$A:$B,2,0),"-"))</f>
        <v/>
      </c>
      <c r="BC67" s="46" t="n"/>
      <c r="BD67" s="46" t="inlineStr">
        <is>
          <t>Ca 1.6%; P 1.3%; Mg 0.11%; фенхель+артишок+м'ята — функціональна підтримка ШКТ; кіноа як пребіотик</t>
        </is>
      </c>
    </row>
    <row r="68" ht="40" customHeight="1">
      <c r="A68" s="52" t="inlineStr">
        <is>
          <t>farm_nd_quinoa_urinary_cat</t>
        </is>
      </c>
      <c r="B68" s="52" t="inlineStr">
        <is>
          <t>Farmina</t>
        </is>
      </c>
      <c r="C68" s="52" t="inlineStr">
        <is>
          <t>N&amp;D Quinoa</t>
        </is>
      </c>
      <c r="D68" s="52" t="inlineStr">
        <is>
          <t>N&amp;D Quinoa Urinary Duck &amp; Cranberry (сухий)</t>
        </is>
      </c>
      <c r="E68" s="52" t="inlineStr">
        <is>
          <t>сухий</t>
        </is>
      </c>
      <c r="F68" s="52" t="inlineStr">
        <is>
          <t>кіт</t>
        </is>
      </c>
      <c r="G68" s="52" t="inlineStr">
        <is>
          <t>МКХ / сечовивідна система</t>
        </is>
      </c>
      <c r="H68" s="52" t="n"/>
      <c r="I68" s="52" t="inlineStr">
        <is>
          <t>https://www.farmina.com/ua</t>
        </is>
      </c>
      <c r="J68" s="52" t="n">
        <v>42</v>
      </c>
      <c r="K68" s="52" t="n">
        <v>16</v>
      </c>
      <c r="L68" s="52" t="n">
        <v>2.5</v>
      </c>
      <c r="M68" s="52" t="n">
        <v>8.5</v>
      </c>
      <c r="N68" s="52" t="n">
        <v>8</v>
      </c>
      <c r="O68">
        <f>IF(J68="","",ROUND(J68/(1-N68/100),1))</f>
        <v/>
      </c>
      <c r="P68">
        <f>IF(K68="","",ROUND(K68/(1-N68/100),1))</f>
        <v/>
      </c>
      <c r="Q68">
        <f>IF(L68="","",ROUND(L68/(1-N68/100),1))</f>
        <v/>
      </c>
      <c r="R68">
        <f>IF(M68="","",ROUND(M68/(1-N68/100),1))</f>
        <v/>
      </c>
      <c r="S68" s="52" t="inlineStr">
        <is>
          <t>Свіже м'ясо качки без кісток (28%), дегідратований качиний протеїн (26%), картопля, курячий жир, екстракт насіння кіноа, яйця, риб'ячий жир, волокна гороху, журавлина (0.5%), хмель, люцерна, ФОС, МОС, куркума</t>
        </is>
      </c>
      <c r="T68" s="52" t="inlineStr">
        <is>
          <t>свіже м'ясо качки без кісток (28%)</t>
        </is>
      </c>
      <c r="U68" s="52" t="inlineStr">
        <is>
          <t>дегідратований качиний протеїн (26%)</t>
        </is>
      </c>
      <c r="V68" s="52" t="inlineStr">
        <is>
          <t>кіноа</t>
        </is>
      </c>
      <c r="W68" s="52" t="n">
        <v>18000</v>
      </c>
      <c r="X68" s="52" t="n">
        <v>1200</v>
      </c>
      <c r="Y68" s="52" t="n">
        <v>600</v>
      </c>
      <c r="Z68" s="52" t="n">
        <v>300</v>
      </c>
      <c r="AA68" s="52" t="n">
        <v>5000</v>
      </c>
      <c r="AB68" s="52" t="n">
        <v>20</v>
      </c>
      <c r="AC68" s="52" t="n">
        <v>8.1</v>
      </c>
      <c r="AD68" s="52" t="n">
        <v>10</v>
      </c>
      <c r="AE68" s="52" t="n">
        <v>0.1</v>
      </c>
      <c r="AF68" s="52" t="n">
        <v>163.8</v>
      </c>
      <c r="AG68" s="52" t="inlineStr">
        <is>
          <t>хелат цинку гідрокси-аналогу метіоніну</t>
        </is>
      </c>
      <c r="AH68" s="52" t="n"/>
      <c r="AK68">
        <f>IF(AF68="","",IF(AH68="",IFERROR(VLOOKUP(AG68,Довідник_мінералів!$A:$B,2,0),"-"),ROUND(IFERROR(VLOOKUP(AG68,Довідник_мінералів!$A:$B,2,0),0)*AH68/100+IFERROR(VLOOKUP(AI68,Довідник_мінералів!$A:$B,2,0),0)*AJ68/100,0)))</f>
        <v/>
      </c>
      <c r="AL68" s="52" t="n">
        <v>58.3</v>
      </c>
      <c r="AM68" s="52" t="inlineStr">
        <is>
          <t>хелат заліза гідрату гліцину</t>
        </is>
      </c>
      <c r="AN68" s="52" t="n"/>
      <c r="AQ68">
        <f>IF(AL68="","",IF(AN68="",IFERROR(VLOOKUP(AM68,Довідник_мінералів!$A:$B,2,0),"-"),ROUND(IFERROR(VLOOKUP(AM68,Довідник_мінералів!$A:$B,2,0),0)*AN68/100+IFERROR(VLOOKUP(AO68,Довідник_мінералів!$A:$B,2,0),0)*AP68/100,0)))</f>
        <v/>
      </c>
      <c r="AR68" s="52" t="n">
        <v>15.8</v>
      </c>
      <c r="AS68" s="52" t="inlineStr">
        <is>
          <t>хелат міді гідрокси-аналогу метіоніну</t>
        </is>
      </c>
      <c r="AT68" s="52" t="n"/>
      <c r="AU68">
        <f>IF(AR68="","",IFERROR(VLOOKUP(AS68,Довідник_мінералів!$A:$B,2,0),"-"))</f>
        <v/>
      </c>
      <c r="AV68" s="52" t="n">
        <v>64.59999999999999</v>
      </c>
      <c r="AW68" s="52" t="inlineStr">
        <is>
          <t>хелат марганцю гідрокси-аналогу метіоніну</t>
        </is>
      </c>
      <c r="AX68" s="52" t="n"/>
      <c r="AY68">
        <f>IF(AV68="","",IFERROR(VLOOKUP(AW68,Довідник_мінералів!$A:$B,2,0),"-"))</f>
        <v/>
      </c>
      <c r="AZ68" s="52" t="n">
        <v>0.4</v>
      </c>
      <c r="BA68" s="52" t="inlineStr">
        <is>
          <t>селенометіонін</t>
        </is>
      </c>
      <c r="BB68" s="52">
        <f>IF(SE68="","",IFERROR(VLOOKUP(BA68,Довідник_мінералів!$A:$B,2,0),"-"))</f>
        <v/>
      </c>
      <c r="BC68" s="52" t="n"/>
      <c r="BD68" s="52" t="inlineStr">
        <is>
          <t>Ca 1.2%; P 1.0%; журавлина — профілактика МКХ; хмель — антибактеріальна дія на сечовивідні шляхи</t>
        </is>
      </c>
    </row>
    <row r="69" ht="40" customHeight="1">
      <c r="A69" s="46" t="inlineStr">
        <is>
          <t>farm_nd_quinoa_weight_cat</t>
        </is>
      </c>
      <c r="B69" s="46" t="inlineStr">
        <is>
          <t>Farmina</t>
        </is>
      </c>
      <c r="C69" s="46" t="inlineStr">
        <is>
          <t>N&amp;D Quinoa</t>
        </is>
      </c>
      <c r="D69" s="46" t="inlineStr">
        <is>
          <t>N&amp;D Quinoa Weight Management Lamb (сухий)</t>
        </is>
      </c>
      <c r="E69" s="46" t="inlineStr">
        <is>
          <t>сухий</t>
        </is>
      </c>
      <c r="F69" s="46" t="inlineStr">
        <is>
          <t>кіт</t>
        </is>
      </c>
      <c r="G69" s="46" t="inlineStr">
        <is>
          <t>зайва вага / ожиріння</t>
        </is>
      </c>
      <c r="H69" s="46" t="n"/>
      <c r="I69" s="46" t="inlineStr">
        <is>
          <t>https://www.farmina.com/ua</t>
        </is>
      </c>
      <c r="J69" s="46" t="n">
        <v>40</v>
      </c>
      <c r="K69" s="46" t="n">
        <v>9</v>
      </c>
      <c r="L69" s="46" t="n">
        <v>10</v>
      </c>
      <c r="M69" s="46" t="n">
        <v>8.9</v>
      </c>
      <c r="N69" s="46" t="n">
        <v>8</v>
      </c>
      <c r="O69">
        <f>IF(J69="","",ROUND(J69/(1-N69/100),1))</f>
        <v/>
      </c>
      <c r="P69">
        <f>IF(K69="","",ROUND(K69/(1-N69/100),1))</f>
        <v/>
      </c>
      <c r="Q69">
        <f>IF(L69="","",ROUND(L69/(1-N69/100),1))</f>
        <v/>
      </c>
      <c r="R69">
        <f>IF(M69="","",ROUND(M69/(1-N69/100),1))</f>
        <v/>
      </c>
      <c r="S69" s="46" t="inlineStr">
        <is>
          <t>Свіже м'ясо ягняти без кісток (26%), дегідратоване м'ясо ягняти (24%), гороховий крохмаль, курячий жир, екстракт насіння кіноа, яйця, риб'ячий жир, волокна гороху, люцерна, L-карнітин, ФОС, МОС, куркума</t>
        </is>
      </c>
      <c r="T69" s="46" t="inlineStr">
        <is>
          <t>свіже м'ясо ягняти без кісток (26%)</t>
        </is>
      </c>
      <c r="U69" s="46" t="inlineStr">
        <is>
          <t>дегідратоване м'ясо ягняти (24%)</t>
        </is>
      </c>
      <c r="V69" s="46" t="inlineStr">
        <is>
          <t>кіноа</t>
        </is>
      </c>
      <c r="W69" s="46" t="n">
        <v>18000</v>
      </c>
      <c r="X69" s="46" t="n">
        <v>1200</v>
      </c>
      <c r="Y69" s="46" t="n">
        <v>600</v>
      </c>
      <c r="Z69" s="46" t="n">
        <v>300</v>
      </c>
      <c r="AA69" s="46" t="n">
        <v>5000</v>
      </c>
      <c r="AB69" s="46" t="n">
        <v>20</v>
      </c>
      <c r="AC69" s="46" t="n">
        <v>8.1</v>
      </c>
      <c r="AD69" s="46" t="n">
        <v>10</v>
      </c>
      <c r="AE69" s="46" t="n">
        <v>0.1</v>
      </c>
      <c r="AF69" s="46" t="n">
        <v>163.8</v>
      </c>
      <c r="AG69" s="46" t="inlineStr">
        <is>
          <t>хелат цинку гідрокси-аналогу метіоніну</t>
        </is>
      </c>
      <c r="AH69" s="46" t="n"/>
      <c r="AK69">
        <f>IF(AF69="","",IF(AH69="",IFERROR(VLOOKUP(AG69,Довідник_мінералів!$A:$B,2,0),"-"),ROUND(IFERROR(VLOOKUP(AG69,Довідник_мінералів!$A:$B,2,0),0)*AH69/100+IFERROR(VLOOKUP(AI69,Довідник_мінералів!$A:$B,2,0),0)*AJ69/100,0)))</f>
        <v/>
      </c>
      <c r="AL69" s="46" t="n">
        <v>58.3</v>
      </c>
      <c r="AM69" s="46" t="inlineStr">
        <is>
          <t>хелат заліза гідрату гліцину</t>
        </is>
      </c>
      <c r="AN69" s="46" t="n"/>
      <c r="AQ69">
        <f>IF(AL69="","",IF(AN69="",IFERROR(VLOOKUP(AM69,Довідник_мінералів!$A:$B,2,0),"-"),ROUND(IFERROR(VLOOKUP(AM69,Довідник_мінералів!$A:$B,2,0),0)*AN69/100+IFERROR(VLOOKUP(AO69,Довідник_мінералів!$A:$B,2,0),0)*AP69/100,0)))</f>
        <v/>
      </c>
      <c r="AR69" s="46" t="n">
        <v>15.8</v>
      </c>
      <c r="AS69" s="46" t="inlineStr">
        <is>
          <t>хелат міді гідрокси-аналогу метіоніну</t>
        </is>
      </c>
      <c r="AT69" s="46" t="n"/>
      <c r="AU69">
        <f>IF(AR69="","",IFERROR(VLOOKUP(AS69,Довідник_мінералів!$A:$B,2,0),"-"))</f>
        <v/>
      </c>
      <c r="AV69" s="46" t="n">
        <v>64.59999999999999</v>
      </c>
      <c r="AW69" s="46" t="inlineStr">
        <is>
          <t>хелат марганцю гідрокси-аналогу метіоніну</t>
        </is>
      </c>
      <c r="AX69" s="46" t="n"/>
      <c r="AY69">
        <f>IF(AV69="","",IFERROR(VLOOKUP(AW69,Довідник_мінералів!$A:$B,2,0),"-"))</f>
        <v/>
      </c>
      <c r="AZ69" s="46" t="n">
        <v>0.4</v>
      </c>
      <c r="BA69" s="46" t="inlineStr">
        <is>
          <t>селенометіонін</t>
        </is>
      </c>
      <c r="BB69" s="46">
        <f>IF(SE69="","",IFERROR(VLOOKUP(BA69,Довідник_мінералів!$A:$B,2,0),"-"))</f>
        <v/>
      </c>
      <c r="BC69" s="46" t="n"/>
      <c r="BD69" s="46" t="inlineStr">
        <is>
          <t>ЗНИЖЕНИЙ ЖИР 9%; ВИСОКА КЛІТКОВИНА 10%; L-карнітин; для зниження ваги</t>
        </is>
      </c>
    </row>
    <row r="70" ht="40" customHeight="1">
      <c r="A70" s="52" t="inlineStr">
        <is>
          <t>farm_nd_quinoa_skin_cat</t>
        </is>
      </c>
      <c r="B70" s="52" t="inlineStr">
        <is>
          <t>Farmina</t>
        </is>
      </c>
      <c r="C70" s="52" t="inlineStr">
        <is>
          <t>N&amp;D Quinoa</t>
        </is>
      </c>
      <c r="D70" s="52" t="inlineStr">
        <is>
          <t>N&amp;D Quinoa Skin &amp; Coat Herring (сухий)</t>
        </is>
      </c>
      <c r="E70" s="52" t="inlineStr">
        <is>
          <t>сухий</t>
        </is>
      </c>
      <c r="F70" s="52" t="inlineStr">
        <is>
          <t>кіт</t>
        </is>
      </c>
      <c r="G70" s="52" t="inlineStr">
        <is>
          <t>шкіра та шерсть / алергія</t>
        </is>
      </c>
      <c r="H70" s="52" t="n"/>
      <c r="I70" s="52" t="inlineStr">
        <is>
          <t>https://www.farmina.com/ua</t>
        </is>
      </c>
      <c r="J70" s="52" t="n">
        <v>40</v>
      </c>
      <c r="K70" s="52" t="n">
        <v>16</v>
      </c>
      <c r="L70" s="52" t="n">
        <v>2.5</v>
      </c>
      <c r="M70" s="52" t="n">
        <v>8.5</v>
      </c>
      <c r="N70" s="52" t="n">
        <v>8</v>
      </c>
      <c r="O70">
        <f>IF(J70="","",ROUND(J70/(1-N70/100),1))</f>
        <v/>
      </c>
      <c r="P70">
        <f>IF(K70="","",ROUND(K70/(1-N70/100),1))</f>
        <v/>
      </c>
      <c r="Q70">
        <f>IF(L70="","",ROUND(L70/(1-N70/100),1))</f>
        <v/>
      </c>
      <c r="R70">
        <f>IF(M70="","",ROUND(M70/(1-N70/100),1))</f>
        <v/>
      </c>
      <c r="S70" s="52" t="inlineStr">
        <is>
          <t>Свіже м'ясо оселедця без кісток (28%), дегідратований оселедець (26%), картопля, риб'ячий жир, екстракт насіння кіноа, яйця, кокос (2.5%), куркума (2.5%), ФОС, МОС, алое вера</t>
        </is>
      </c>
      <c r="T70" s="52" t="inlineStr">
        <is>
          <t>свіже м'ясо оселедця без кісток (28%)</t>
        </is>
      </c>
      <c r="U70" s="52" t="inlineStr">
        <is>
          <t>дегідратований оселедець (26%)</t>
        </is>
      </c>
      <c r="V70" s="52" t="inlineStr">
        <is>
          <t>кіноа</t>
        </is>
      </c>
      <c r="W70" s="52" t="n">
        <v>18000</v>
      </c>
      <c r="X70" s="52" t="n">
        <v>1200</v>
      </c>
      <c r="Y70" s="52" t="n">
        <v>600</v>
      </c>
      <c r="Z70" s="52" t="n">
        <v>300</v>
      </c>
      <c r="AA70" s="52" t="n">
        <v>5000</v>
      </c>
      <c r="AB70" s="52" t="n">
        <v>20</v>
      </c>
      <c r="AC70" s="52" t="n">
        <v>8.1</v>
      </c>
      <c r="AD70" s="52" t="n">
        <v>10</v>
      </c>
      <c r="AE70" s="52" t="n">
        <v>0.1</v>
      </c>
      <c r="AF70" s="52" t="n">
        <v>163.8</v>
      </c>
      <c r="AG70" s="52" t="inlineStr">
        <is>
          <t>хелат цинку гідрокси-аналогу метіоніну</t>
        </is>
      </c>
      <c r="AH70" s="52" t="n"/>
      <c r="AK70">
        <f>IF(AF70="","",IF(AH70="",IFERROR(VLOOKUP(AG70,Довідник_мінералів!$A:$B,2,0),"-"),ROUND(IFERROR(VLOOKUP(AG70,Довідник_мінералів!$A:$B,2,0),0)*AH70/100+IFERROR(VLOOKUP(AI70,Довідник_мінералів!$A:$B,2,0),0)*AJ70/100,0)))</f>
        <v/>
      </c>
      <c r="AL70" s="52" t="n">
        <v>58.3</v>
      </c>
      <c r="AM70" s="52" t="inlineStr">
        <is>
          <t>хелат заліза гідрату гліцину</t>
        </is>
      </c>
      <c r="AN70" s="52" t="n"/>
      <c r="AQ70">
        <f>IF(AL70="","",IF(AN70="",IFERROR(VLOOKUP(AM70,Довідник_мінералів!$A:$B,2,0),"-"),ROUND(IFERROR(VLOOKUP(AM70,Довідник_мінералів!$A:$B,2,0),0)*AN70/100+IFERROR(VLOOKUP(AO70,Довідник_мінералів!$A:$B,2,0),0)*AP70/100,0)))</f>
        <v/>
      </c>
      <c r="AR70" s="52" t="n">
        <v>15.8</v>
      </c>
      <c r="AS70" s="52" t="inlineStr">
        <is>
          <t>хелат міді гідрокси-аналогу метіоніну</t>
        </is>
      </c>
      <c r="AT70" s="52" t="n"/>
      <c r="AU70">
        <f>IF(AR70="","",IFERROR(VLOOKUP(AS70,Довідник_мінералів!$A:$B,2,0),"-"))</f>
        <v/>
      </c>
      <c r="AV70" s="52" t="n">
        <v>64.59999999999999</v>
      </c>
      <c r="AW70" s="52" t="inlineStr">
        <is>
          <t>хелат марганцю гідрокси-аналогу метіоніну</t>
        </is>
      </c>
      <c r="AX70" s="52" t="n"/>
      <c r="AY70">
        <f>IF(AV70="","",IFERROR(VLOOKUP(AW70,Довідник_мінералів!$A:$B,2,0),"-"))</f>
        <v/>
      </c>
      <c r="AZ70" s="52" t="n">
        <v>0.4</v>
      </c>
      <c r="BA70" s="52" t="inlineStr">
        <is>
          <t>селенометіонін</t>
        </is>
      </c>
      <c r="BB70" s="52">
        <f>IF(SE70="","",IFERROR(VLOOKUP(BA70,Довідник_мінералів!$A:$B,2,0),"-"))</f>
        <v/>
      </c>
      <c r="BC70" s="52" t="n"/>
      <c r="BD70" s="52" t="inlineStr">
        <is>
          <t>НОВЕЛЬНИЙ БІЛОК (оселедець); кокос — MCT; куркума — протизапальна; для харчової алергії зі шкірними симптомами</t>
        </is>
      </c>
    </row>
    <row r="71" ht="40" customHeight="1">
      <c r="A71" s="46" t="inlineStr">
        <is>
          <t>farm_nd_quinoa_neutered_cat</t>
        </is>
      </c>
      <c r="B71" s="46" t="inlineStr">
        <is>
          <t>Farmina</t>
        </is>
      </c>
      <c r="C71" s="46" t="inlineStr">
        <is>
          <t>N&amp;D Quinoa</t>
        </is>
      </c>
      <c r="D71" s="46" t="inlineStr">
        <is>
          <t>N&amp;D Quinoa Sterilized Lamb (сухий)</t>
        </is>
      </c>
      <c r="E71" s="46" t="inlineStr">
        <is>
          <t>сухий</t>
        </is>
      </c>
      <c r="F71" s="46" t="inlineStr">
        <is>
          <t>кіт</t>
        </is>
      </c>
      <c r="G71" s="46" t="inlineStr">
        <is>
          <t>стерилізовані</t>
        </is>
      </c>
      <c r="H71" s="46" t="n"/>
      <c r="I71" s="46" t="inlineStr">
        <is>
          <t>https://www.farmina.com/ua</t>
        </is>
      </c>
      <c r="J71" s="46" t="n">
        <v>46</v>
      </c>
      <c r="K71" s="46" t="n">
        <v>11</v>
      </c>
      <c r="L71" s="46" t="n">
        <v>5.1</v>
      </c>
      <c r="M71" s="46" t="n">
        <v>8.9</v>
      </c>
      <c r="N71" s="46" t="n">
        <v>8</v>
      </c>
      <c r="O71">
        <f>IF(J71="","",ROUND(J71/(1-N71/100),1))</f>
        <v/>
      </c>
      <c r="P71">
        <f>IF(K71="","",ROUND(K71/(1-N71/100),1))</f>
        <v/>
      </c>
      <c r="Q71">
        <f>IF(L71="","",ROUND(L71/(1-N71/100),1))</f>
        <v/>
      </c>
      <c r="R71">
        <f>IF(M71="","",ROUND(M71/(1-N71/100),1))</f>
        <v/>
      </c>
      <c r="S71" s="46" t="inlineStr">
        <is>
          <t>М'ясо ягняти без кісток (32%), дегідратовані білки жуйних (ягня, яловичина) (30%), батат, дегідратований оселедець, гарбуз (5%), яйця, курячий жир, риб'ячий жир, свинячий жир, дегідратовані білки птиці, волокна гороху, морква, люцерна, інулін, ФОС, МОС, гранат, шпинат, подорожник, апельсин, яблука, куркума (0.2%), алое вера</t>
        </is>
      </c>
      <c r="T71" s="46" t="inlineStr">
        <is>
          <t>м'ясо ягняти без кісток (32%)</t>
        </is>
      </c>
      <c r="U71" s="46" t="inlineStr">
        <is>
          <t>дегідратовані білки жуйних (30%)</t>
        </is>
      </c>
      <c r="V71" s="46" t="inlineStr">
        <is>
          <t>гарбуз (5%)</t>
        </is>
      </c>
      <c r="W71" s="46" t="n">
        <v>18000</v>
      </c>
      <c r="X71" s="46" t="n">
        <v>1200</v>
      </c>
      <c r="Y71" s="46" t="n">
        <v>600</v>
      </c>
      <c r="Z71" s="46" t="n">
        <v>300</v>
      </c>
      <c r="AA71" s="46" t="n">
        <v>5000</v>
      </c>
      <c r="AB71" s="46" t="n">
        <v>20</v>
      </c>
      <c r="AC71" s="46" t="n">
        <v>8.1</v>
      </c>
      <c r="AD71" s="46" t="n">
        <v>10</v>
      </c>
      <c r="AE71" s="46" t="n">
        <v>0.1</v>
      </c>
      <c r="AF71" s="46" t="n">
        <v>163.8</v>
      </c>
      <c r="AG71" s="46" t="inlineStr">
        <is>
          <t>хелат цинку гідрокси-аналогу метіоніну</t>
        </is>
      </c>
      <c r="AH71" s="46" t="n"/>
      <c r="AK71">
        <f>IF(AF71="","",IF(AH71="",IFERROR(VLOOKUP(AG71,Довідник_мінералів!$A:$B,2,0),"-"),ROUND(IFERROR(VLOOKUP(AG71,Довідник_мінералів!$A:$B,2,0),0)*AH71/100+IFERROR(VLOOKUP(AI71,Довідник_мінералів!$A:$B,2,0),0)*AJ71/100,0)))</f>
        <v/>
      </c>
      <c r="AL71" s="46" t="n">
        <v>58.3</v>
      </c>
      <c r="AM71" s="46" t="inlineStr">
        <is>
          <t>хелат заліза гідрату гліцину</t>
        </is>
      </c>
      <c r="AN71" s="46" t="n"/>
      <c r="AQ71">
        <f>IF(AL71="","",IF(AN71="",IFERROR(VLOOKUP(AM71,Довідник_мінералів!$A:$B,2,0),"-"),ROUND(IFERROR(VLOOKUP(AM71,Довідник_мінералів!$A:$B,2,0),0)*AN71/100+IFERROR(VLOOKUP(AO71,Довідник_мінералів!$A:$B,2,0),0)*AP71/100,0)))</f>
        <v/>
      </c>
      <c r="AR71" s="46" t="n">
        <v>15.8</v>
      </c>
      <c r="AS71" s="46" t="inlineStr">
        <is>
          <t>хелат міді гідрокси-аналогу метіоніну</t>
        </is>
      </c>
      <c r="AT71" s="46" t="n"/>
      <c r="AU71">
        <f>IF(AR71="","",IFERROR(VLOOKUP(AS71,Довідник_мінералів!$A:$B,2,0),"-"))</f>
        <v/>
      </c>
      <c r="AV71" s="46" t="n">
        <v>64.59999999999999</v>
      </c>
      <c r="AW71" s="46" t="inlineStr">
        <is>
          <t>хелат марганцю гідрокси-аналогу метіоніну</t>
        </is>
      </c>
      <c r="AX71" s="46" t="n"/>
      <c r="AY71">
        <f>IF(AV71="","",IFERROR(VLOOKUP(AW71,Довідник_мінералів!$A:$B,2,0),"-"))</f>
        <v/>
      </c>
      <c r="AZ71" s="46" t="n">
        <v>0.4</v>
      </c>
      <c r="BA71" s="46" t="inlineStr">
        <is>
          <t>селенометіонін</t>
        </is>
      </c>
      <c r="BB71" s="46">
        <f>IF(SE71="","",IFERROR(VLOOKUP(BA71,Довідник_мінералів!$A:$B,2,0),"-"))</f>
        <v/>
      </c>
      <c r="BC71" s="46" t="n"/>
      <c r="BD71" s="46" t="inlineStr">
        <is>
          <t>Ca 1.2%; P 1.0%; Mg 0.09%; DHA 0.3%; EPA 0.1%; гарбуз як функціональний інгредієнт</t>
        </is>
      </c>
    </row>
    <row r="72" ht="40" customHeight="1">
      <c r="A72" s="52" t="inlineStr">
        <is>
          <t>farm_nd_quinoa_digest_wet_cat</t>
        </is>
      </c>
      <c r="B72" s="52" t="inlineStr">
        <is>
          <t>Farmina</t>
        </is>
      </c>
      <c r="C72" s="52" t="inlineStr">
        <is>
          <t>N&amp;D Quinoa</t>
        </is>
      </c>
      <c r="D72" s="52" t="inlineStr">
        <is>
          <t>N&amp;D Quinoa Digestion Lamb (вологий 80г)</t>
        </is>
      </c>
      <c r="E72" s="52" t="inlineStr">
        <is>
          <t>вологий</t>
        </is>
      </c>
      <c r="F72" s="52" t="inlineStr">
        <is>
          <t>кіт</t>
        </is>
      </c>
      <c r="G72" s="52" t="inlineStr">
        <is>
          <t>ШКТ / чутливе травлення</t>
        </is>
      </c>
      <c r="H72" s="52" t="n">
        <v>999</v>
      </c>
      <c r="I72" s="52" t="inlineStr">
        <is>
          <t>https://www.farmina.com/ua</t>
        </is>
      </c>
      <c r="J72" s="52" t="n">
        <v>12</v>
      </c>
      <c r="K72" s="52" t="n">
        <v>3.8</v>
      </c>
      <c r="L72" s="52" t="n">
        <v>0.8</v>
      </c>
      <c r="M72" s="52" t="n">
        <v>3.3</v>
      </c>
      <c r="N72" s="52" t="n">
        <v>75</v>
      </c>
      <c r="O72">
        <f>IF(J72="","",ROUND(J72/(1-N72/100),1))</f>
        <v/>
      </c>
      <c r="P72">
        <f>IF(K72="","",ROUND(K72/(1-N72/100),1))</f>
        <v/>
      </c>
      <c r="Q72">
        <f>IF(L72="","",ROUND(L72/(1-N72/100),1))</f>
        <v/>
      </c>
      <c r="R72">
        <f>IF(M72="","",ROUND(M72/(1-N72/100),1))</f>
        <v/>
      </c>
      <c r="S72" s="52" t="inlineStr">
        <is>
          <t>Каре ягняти і лопатки (45%), гідролізований рибний білок, екстракти насіння кіноа (5%), риб'ячий жир, артишок, фенхель, ФОС, МОС, пивні дріжджі, хондроїтин сульфат, глюкозамін</t>
        </is>
      </c>
      <c r="T72" s="52" t="inlineStr">
        <is>
          <t>каре ягняти і лопатки (45%)</t>
        </is>
      </c>
      <c r="U72" s="52" t="inlineStr">
        <is>
          <t>гідролізований рибний білок</t>
        </is>
      </c>
      <c r="V72" s="52" t="inlineStr">
        <is>
          <t>кіноа (5%)</t>
        </is>
      </c>
      <c r="W72" s="52" t="n">
        <v>4800</v>
      </c>
      <c r="X72" s="52" t="n">
        <v>320</v>
      </c>
      <c r="Y72" s="52" t="n">
        <v>160</v>
      </c>
      <c r="Z72" s="52" t="n"/>
      <c r="AA72" s="52" t="n">
        <v>800</v>
      </c>
      <c r="AB72" s="52" t="n"/>
      <c r="AC72" s="52" t="n"/>
      <c r="AD72" s="52" t="n"/>
      <c r="AE72" s="52" t="n"/>
      <c r="AF72" s="52" t="n">
        <v>36</v>
      </c>
      <c r="AG72" s="52" t="inlineStr">
        <is>
          <t>хелат цинку гідрокси-аналогу метіоніну</t>
        </is>
      </c>
      <c r="AH72" s="52" t="n"/>
      <c r="AK72">
        <f>IF(AF72="","",IF(AH72="",IFERROR(VLOOKUP(AG72,Довідник_мінералів!$A:$B,2,0),"-"),ROUND(IFERROR(VLOOKUP(AG72,Довідник_мінералів!$A:$B,2,0),0)*AH72/100+IFERROR(VLOOKUP(AI72,Довідник_мінералів!$A:$B,2,0),0)*AJ72/100,0)))</f>
        <v/>
      </c>
      <c r="AL72" s="52" t="n">
        <v>16.8</v>
      </c>
      <c r="AM72" s="52" t="inlineStr">
        <is>
          <t>хелат заліза гідрату гліцину</t>
        </is>
      </c>
      <c r="AN72" s="52" t="n"/>
      <c r="AQ72">
        <f>IF(AL72="","",IF(AN72="",IFERROR(VLOOKUP(AM72,Довідник_мінералів!$A:$B,2,0),"-"),ROUND(IFERROR(VLOOKUP(AM72,Довідник_мінералів!$A:$B,2,0),0)*AN72/100+IFERROR(VLOOKUP(AO72,Довідник_мінералів!$A:$B,2,0),0)*AP72/100,0)))</f>
        <v/>
      </c>
      <c r="AR72" s="52" t="n">
        <v>2.9</v>
      </c>
      <c r="AS72" s="52" t="inlineStr">
        <is>
          <t>хелат міді гідрокси-аналогу метіоніну</t>
        </is>
      </c>
      <c r="AT72" s="52" t="n"/>
      <c r="AU72">
        <f>IF(AR72="","",IFERROR(VLOOKUP(AS72,Довідник_мінералів!$A:$B,2,0),"-"))</f>
        <v/>
      </c>
      <c r="AV72" s="52" t="n">
        <v>6.8</v>
      </c>
      <c r="AW72" s="52" t="inlineStr">
        <is>
          <t>хелат марганцю гідрокси-аналогу метіоніну</t>
        </is>
      </c>
      <c r="AX72" s="52" t="n"/>
      <c r="AY72">
        <f>IF(AV72="","",IFERROR(VLOOKUP(AW72,Довідник_мінералів!$A:$B,2,0),"-"))</f>
        <v/>
      </c>
      <c r="AZ72" s="52" t="n"/>
      <c r="BA72" s="52" t="n"/>
      <c r="BB72" s="52">
        <f>IF(SE72="","",IFERROR(VLOOKUP(BA72,Довідник_мінералів!$A:$B,2,0),"-"))</f>
        <v/>
      </c>
      <c r="BC72" s="52" t="n"/>
      <c r="BD72" s="52" t="inlineStr">
        <is>
          <t>L-карнітин 150 мг; таурин 800 мг; 45% свіжого м'яса; фенхель+артишок для ШКТ</t>
        </is>
      </c>
    </row>
    <row r="73" ht="40" customHeight="1">
      <c r="A73" s="46" t="inlineStr">
        <is>
          <t>farm_nd_quinoa_skin_wet_cat</t>
        </is>
      </c>
      <c r="B73" s="46" t="inlineStr">
        <is>
          <t>Farmina</t>
        </is>
      </c>
      <c r="C73" s="46" t="inlineStr">
        <is>
          <t>N&amp;D Quinoa</t>
        </is>
      </c>
      <c r="D73" s="46" t="inlineStr">
        <is>
          <t>N&amp;D Quinoa Skin &amp; Coat Quail &amp; Coconut (вологий 75г)</t>
        </is>
      </c>
      <c r="E73" s="46" t="inlineStr">
        <is>
          <t>вологий</t>
        </is>
      </c>
      <c r="F73" s="46" t="inlineStr">
        <is>
          <t>кіт</t>
        </is>
      </c>
      <c r="G73" s="46" t="inlineStr">
        <is>
          <t>шкіра та шерсть / алергія</t>
        </is>
      </c>
      <c r="H73" s="46" t="n"/>
      <c r="I73" s="46" t="inlineStr">
        <is>
          <t>https://www.farmina.com/ua</t>
        </is>
      </c>
      <c r="J73" s="46" t="n">
        <v>12.8</v>
      </c>
      <c r="K73" s="46" t="n">
        <v>5.4</v>
      </c>
      <c r="L73" s="46" t="n">
        <v>0.8</v>
      </c>
      <c r="M73" s="46" t="n">
        <v>2.3</v>
      </c>
      <c r="N73" s="46" t="n">
        <v>75</v>
      </c>
      <c r="O73">
        <f>IF(J73="","",ROUND(J73/(1-N73/100),1))</f>
        <v/>
      </c>
      <c r="P73">
        <f>IF(K73="","",ROUND(K73/(1-N73/100),1))</f>
        <v/>
      </c>
      <c r="Q73">
        <f>IF(L73="","",ROUND(L73/(1-N73/100),1))</f>
        <v/>
      </c>
      <c r="R73">
        <f>IF(M73="","",ROUND(M73/(1-N73/100),1))</f>
        <v/>
      </c>
      <c r="S73" s="46" t="inlineStr">
        <is>
          <t>М'ясо перепілки (65%), гідролізований рибний білок, кіноа, кокос, риб'ячий жир, ФОС, МОС</t>
        </is>
      </c>
      <c r="T73" s="46" t="inlineStr">
        <is>
          <t>м'ясо перепілки (65%)</t>
        </is>
      </c>
      <c r="U73" s="46" t="inlineStr">
        <is>
          <t>кіноа</t>
        </is>
      </c>
      <c r="V73" s="46" t="inlineStr">
        <is>
          <t>кокос</t>
        </is>
      </c>
      <c r="W73" s="46" t="n">
        <v>4800</v>
      </c>
      <c r="X73" s="46" t="n">
        <v>320</v>
      </c>
      <c r="Y73" s="46" t="n">
        <v>160</v>
      </c>
      <c r="Z73" s="46" t="n"/>
      <c r="AA73" s="46" t="n">
        <v>800</v>
      </c>
      <c r="AB73" s="46" t="n"/>
      <c r="AC73" s="46" t="n"/>
      <c r="AD73" s="46" t="n"/>
      <c r="AE73" s="46" t="n"/>
      <c r="AF73" s="46" t="n">
        <v>36</v>
      </c>
      <c r="AG73" s="46" t="inlineStr">
        <is>
          <t>хелат цинку гідрокси-аналогу метіоніну</t>
        </is>
      </c>
      <c r="AH73" s="46" t="n"/>
      <c r="AK73">
        <f>IF(AF73="","",IF(AH73="",IFERROR(VLOOKUP(AG73,Довідник_мінералів!$A:$B,2,0),"-"),ROUND(IFERROR(VLOOKUP(AG73,Довідник_мінералів!$A:$B,2,0),0)*AH73/100+IFERROR(VLOOKUP(AI73,Довідник_мінералів!$A:$B,2,0),0)*AJ73/100,0)))</f>
        <v/>
      </c>
      <c r="AL73" s="46" t="n">
        <v>16.8</v>
      </c>
      <c r="AM73" s="46" t="inlineStr">
        <is>
          <t>хелат заліза гідрату гліцину</t>
        </is>
      </c>
      <c r="AN73" s="46" t="n"/>
      <c r="AQ73">
        <f>IF(AL73="","",IF(AN73="",IFERROR(VLOOKUP(AM73,Довідник_мінералів!$A:$B,2,0),"-"),ROUND(IFERROR(VLOOKUP(AM73,Довідник_мінералів!$A:$B,2,0),0)*AN73/100+IFERROR(VLOOKUP(AO73,Довідник_мінералів!$A:$B,2,0),0)*AP73/100,0)))</f>
        <v/>
      </c>
      <c r="AR73" s="46" t="n">
        <v>2.9</v>
      </c>
      <c r="AS73" s="46" t="inlineStr">
        <is>
          <t>хелат міді гідрокси-аналогу метіоніну</t>
        </is>
      </c>
      <c r="AT73" s="46" t="n"/>
      <c r="AU73">
        <f>IF(AR73="","",IFERROR(VLOOKUP(AS73,Довідник_мінералів!$A:$B,2,0),"-"))</f>
        <v/>
      </c>
      <c r="AV73" s="46" t="n">
        <v>6.8</v>
      </c>
      <c r="AW73" s="46" t="inlineStr">
        <is>
          <t>хелат марганцю гідрокси-аналогу метіоніну</t>
        </is>
      </c>
      <c r="AX73" s="46" t="n"/>
      <c r="AY73">
        <f>IF(AV73="","",IFERROR(VLOOKUP(AW73,Довідник_мінералів!$A:$B,2,0),"-"))</f>
        <v/>
      </c>
      <c r="AZ73" s="46" t="n"/>
      <c r="BA73" s="46" t="n"/>
      <c r="BB73" s="46">
        <f>IF(SE73="","",IFERROR(VLOOKUP(BA73,Довідник_мінералів!$A:$B,2,0),"-"))</f>
        <v/>
      </c>
      <c r="BC73" s="46" t="n"/>
      <c r="BD73" s="46" t="inlineStr">
        <is>
          <t>Ca 0.16%; P 0.15%; Na 0.20%; Mg 0.01%; НОВЕЛЬНИЙ БІЛОК перепілка; кокос — MCT для шкіри</t>
        </is>
      </c>
    </row>
    <row r="74" ht="40" customHeight="1">
      <c r="A74" s="52" t="inlineStr">
        <is>
          <t>farm_nd_prime_chicken_adult_dog</t>
        </is>
      </c>
      <c r="B74" s="52" t="inlineStr">
        <is>
          <t>Farmina</t>
        </is>
      </c>
      <c r="C74" s="52" t="inlineStr">
        <is>
          <t>N&amp;D Prime GF</t>
        </is>
      </c>
      <c r="D74" s="52" t="inlineStr">
        <is>
          <t>N&amp;D Prime Chicken &amp; Pomegranate Adult Medium (сухий)</t>
        </is>
      </c>
      <c r="E74" s="52" t="inlineStr">
        <is>
          <t>сухий</t>
        </is>
      </c>
      <c r="F74" s="52" t="inlineStr">
        <is>
          <t>собака</t>
        </is>
      </c>
      <c r="G74" s="52" t="inlineStr">
        <is>
          <t>здоровий дорослий</t>
        </is>
      </c>
      <c r="H74" s="52" t="n">
        <v>3900</v>
      </c>
      <c r="I74" s="52" t="inlineStr">
        <is>
          <t>https://www.farmina.com/ua</t>
        </is>
      </c>
      <c r="J74" s="52" t="n">
        <v>30</v>
      </c>
      <c r="K74" s="52" t="n">
        <v>18</v>
      </c>
      <c r="L74" s="52" t="n">
        <v>2.9</v>
      </c>
      <c r="M74" s="52" t="n">
        <v>7.2</v>
      </c>
      <c r="N74" s="52" t="n">
        <v>9</v>
      </c>
      <c r="O74">
        <f>IF(J74="","",ROUND(J74/(1-N74/100),1))</f>
        <v/>
      </c>
      <c r="P74">
        <f>IF(K74="","",ROUND(K74/(1-N74/100),1))</f>
        <v/>
      </c>
      <c r="Q74">
        <f>IF(L74="","",ROUND(L74/(1-N74/100),1))</f>
        <v/>
      </c>
      <c r="R74">
        <f>IF(M74="","",ROUND(M74/(1-N74/100),1))</f>
        <v/>
      </c>
      <c r="S74" s="52" t="inlineStr">
        <is>
          <t>Свіже куряче м'ясо без кісток (20%), дегідратоване куряче м'ясо (18%), гороховий крохмаль, курячий жир, яйця, свіжий оселедець, дегідратований оселедець, риб'ячий жир, волокна гороху, сушена морква, люцерна, інулін, ФОС, МОС, порошок граната (0.5%), подорожник, куркума (0.2%), глюкозамін, хондроїтин сульфат</t>
        </is>
      </c>
      <c r="T74" s="52" t="inlineStr">
        <is>
          <t>свіже куряче м'ясо без кісток (20%)</t>
        </is>
      </c>
      <c r="U74" s="52" t="inlineStr">
        <is>
          <t>дегідратоване куряче м'ясо (18%)</t>
        </is>
      </c>
      <c r="V74" s="52" t="inlineStr">
        <is>
          <t>яйця</t>
        </is>
      </c>
      <c r="W74" s="52" t="n">
        <v>18000</v>
      </c>
      <c r="X74" s="52" t="n">
        <v>1200</v>
      </c>
      <c r="Y74" s="52" t="n">
        <v>600</v>
      </c>
      <c r="Z74" s="52" t="n">
        <v>300</v>
      </c>
      <c r="AA74" s="52" t="n"/>
      <c r="AB74" s="52" t="n">
        <v>20</v>
      </c>
      <c r="AC74" s="52" t="n">
        <v>8.1</v>
      </c>
      <c r="AD74" s="52" t="n">
        <v>10</v>
      </c>
      <c r="AE74" s="52" t="n">
        <v>0.1</v>
      </c>
      <c r="AF74" s="52" t="n">
        <v>163.8</v>
      </c>
      <c r="AG74" s="52" t="inlineStr">
        <is>
          <t>хелат цинку гідрокси-аналогу метіоніну</t>
        </is>
      </c>
      <c r="AH74" s="52" t="n"/>
      <c r="AK74">
        <f>IF(AF74="","",IF(AH74="",IFERROR(VLOOKUP(AG74,Довідник_мінералів!$A:$B,2,0),"-"),ROUND(IFERROR(VLOOKUP(AG74,Довідник_мінералів!$A:$B,2,0),0)*AH74/100+IFERROR(VLOOKUP(AI74,Довідник_мінералів!$A:$B,2,0),0)*AJ74/100,0)))</f>
        <v/>
      </c>
      <c r="AL74" s="52" t="n">
        <v>58.3</v>
      </c>
      <c r="AM74" s="52" t="inlineStr">
        <is>
          <t>хелат заліза гідрату гліцину</t>
        </is>
      </c>
      <c r="AN74" s="52" t="n"/>
      <c r="AQ74">
        <f>IF(AL74="","",IF(AN74="",IFERROR(VLOOKUP(AM74,Довідник_мінералів!$A:$B,2,0),"-"),ROUND(IFERROR(VLOOKUP(AM74,Довідник_мінералів!$A:$B,2,0),0)*AN74/100+IFERROR(VLOOKUP(AO74,Довідник_мінералів!$A:$B,2,0),0)*AP74/100,0)))</f>
        <v/>
      </c>
      <c r="AR74" s="52" t="n">
        <v>15.8</v>
      </c>
      <c r="AS74" s="52" t="inlineStr">
        <is>
          <t>хелат міді гідрокси-аналогу метіоніну</t>
        </is>
      </c>
      <c r="AT74" s="52" t="n"/>
      <c r="AU74">
        <f>IF(AR74="","",IFERROR(VLOOKUP(AS74,Довідник_мінералів!$A:$B,2,0),"-"))</f>
        <v/>
      </c>
      <c r="AV74" s="52" t="n">
        <v>64.59999999999999</v>
      </c>
      <c r="AW74" s="52" t="inlineStr">
        <is>
          <t>хелат марганцю гідрокси-аналогу метіоніну</t>
        </is>
      </c>
      <c r="AX74" s="52" t="n"/>
      <c r="AY74">
        <f>IF(AV74="","",IFERROR(VLOOKUP(AW74,Довідник_мінералів!$A:$B,2,0),"-"))</f>
        <v/>
      </c>
      <c r="AZ74" s="52" t="n">
        <v>0.4</v>
      </c>
      <c r="BA74" s="52" t="inlineStr">
        <is>
          <t>селенометіонін</t>
        </is>
      </c>
      <c r="BB74" s="52">
        <f>IF(SE74="","",IFERROR(VLOOKUP(BA74,Довідник_мінералів!$A:$B,2,0),"-"))</f>
        <v/>
      </c>
      <c r="BC74" s="52" t="n"/>
      <c r="BD74" s="52" t="inlineStr">
        <is>
          <t>Ca 1.0%; P 0.8%; Омега-6 3.4%; Омега-3 0.9%; DHA 0.5%; EPA 0.3%</t>
        </is>
      </c>
    </row>
    <row r="75" ht="40" customHeight="1">
      <c r="A75" s="46" t="inlineStr">
        <is>
          <t>farm_nd_prime_lamb_adult_dog</t>
        </is>
      </c>
      <c r="B75" s="46" t="inlineStr">
        <is>
          <t>Farmina</t>
        </is>
      </c>
      <c r="C75" s="46" t="inlineStr">
        <is>
          <t>N&amp;D Prime GF</t>
        </is>
      </c>
      <c r="D75" s="46" t="inlineStr">
        <is>
          <t>N&amp;D Prime Lamb &amp; Blueberry Adult Medium (сухий)</t>
        </is>
      </c>
      <c r="E75" s="46" t="inlineStr">
        <is>
          <t>сухий</t>
        </is>
      </c>
      <c r="F75" s="46" t="inlineStr">
        <is>
          <t>собака</t>
        </is>
      </c>
      <c r="G75" s="46" t="inlineStr">
        <is>
          <t>здоровий дорослий / алергія на птицю</t>
        </is>
      </c>
      <c r="H75" s="46" t="n">
        <v>3900</v>
      </c>
      <c r="I75" s="46" t="inlineStr">
        <is>
          <t>https://www.farmina.com/ua</t>
        </is>
      </c>
      <c r="J75" s="46" t="n">
        <v>30</v>
      </c>
      <c r="K75" s="46" t="n">
        <v>18</v>
      </c>
      <c r="L75" s="46" t="n">
        <v>2.9</v>
      </c>
      <c r="M75" s="46" t="n">
        <v>7.2</v>
      </c>
      <c r="N75" s="46" t="n">
        <v>9</v>
      </c>
      <c r="O75">
        <f>IF(J75="","",ROUND(J75/(1-N75/100),1))</f>
        <v/>
      </c>
      <c r="P75">
        <f>IF(K75="","",ROUND(K75/(1-N75/100),1))</f>
        <v/>
      </c>
      <c r="Q75">
        <f>IF(L75="","",ROUND(L75/(1-N75/100),1))</f>
        <v/>
      </c>
      <c r="R75">
        <f>IF(M75="","",ROUND(M75/(1-N75/100),1))</f>
        <v/>
      </c>
      <c r="S75" s="46" t="inlineStr">
        <is>
          <t>Свіже м'ясо ягняти без кісток (20%), дегідратоване м'ясо ягняти (18%), гороховий крохмаль, курячий жир, яйця, свіжий оселедець, риб'ячий жир, волокна гороху, сушена морква, люцерна, інулін, ФОС, МОС, порошок чорниці (0.5%), куркума (0.2%), глюкозамін, хондроїтин сульфат</t>
        </is>
      </c>
      <c r="T75" s="46" t="inlineStr">
        <is>
          <t>свіже м'ясо ягняти без кісток (20%)</t>
        </is>
      </c>
      <c r="U75" s="46" t="inlineStr">
        <is>
          <t>дегідратоване м'ясо ягняти (18%)</t>
        </is>
      </c>
      <c r="V75" s="46" t="inlineStr">
        <is>
          <t>яйця</t>
        </is>
      </c>
      <c r="W75" s="46" t="n">
        <v>18000</v>
      </c>
      <c r="X75" s="46" t="n">
        <v>1200</v>
      </c>
      <c r="Y75" s="46" t="n">
        <v>600</v>
      </c>
      <c r="Z75" s="46" t="n">
        <v>300</v>
      </c>
      <c r="AA75" s="46" t="n"/>
      <c r="AB75" s="46" t="n">
        <v>20</v>
      </c>
      <c r="AC75" s="46" t="n">
        <v>8.1</v>
      </c>
      <c r="AD75" s="46" t="n">
        <v>10</v>
      </c>
      <c r="AE75" s="46" t="n">
        <v>0.1</v>
      </c>
      <c r="AF75" s="46" t="n">
        <v>163.8</v>
      </c>
      <c r="AG75" s="46" t="inlineStr">
        <is>
          <t>хелат цинку гідрокси-аналогу метіоніну</t>
        </is>
      </c>
      <c r="AH75" s="46" t="n"/>
      <c r="AK75">
        <f>IF(AF75="","",IF(AH75="",IFERROR(VLOOKUP(AG75,Довідник_мінералів!$A:$B,2,0),"-"),ROUND(IFERROR(VLOOKUP(AG75,Довідник_мінералів!$A:$B,2,0),0)*AH75/100+IFERROR(VLOOKUP(AI75,Довідник_мінералів!$A:$B,2,0),0)*AJ75/100,0)))</f>
        <v/>
      </c>
      <c r="AL75" s="46" t="n">
        <v>58.3</v>
      </c>
      <c r="AM75" s="46" t="inlineStr">
        <is>
          <t>хелат заліза гідрату гліцину</t>
        </is>
      </c>
      <c r="AN75" s="46" t="n"/>
      <c r="AQ75">
        <f>IF(AL75="","",IF(AN75="",IFERROR(VLOOKUP(AM75,Довідник_мінералів!$A:$B,2,0),"-"),ROUND(IFERROR(VLOOKUP(AM75,Довідник_мінералів!$A:$B,2,0),0)*AN75/100+IFERROR(VLOOKUP(AO75,Довідник_мінералів!$A:$B,2,0),0)*AP75/100,0)))</f>
        <v/>
      </c>
      <c r="AR75" s="46" t="n">
        <v>15.8</v>
      </c>
      <c r="AS75" s="46" t="inlineStr">
        <is>
          <t>хелат міді гідрокси-аналогу метіоніну</t>
        </is>
      </c>
      <c r="AT75" s="46" t="n"/>
      <c r="AU75">
        <f>IF(AR75="","",IFERROR(VLOOKUP(AS75,Довідник_мінералів!$A:$B,2,0),"-"))</f>
        <v/>
      </c>
      <c r="AV75" s="46" t="n">
        <v>64.59999999999999</v>
      </c>
      <c r="AW75" s="46" t="inlineStr">
        <is>
          <t>хелат марганцю гідрокси-аналогу метіоніну</t>
        </is>
      </c>
      <c r="AX75" s="46" t="n"/>
      <c r="AY75">
        <f>IF(AV75="","",IFERROR(VLOOKUP(AW75,Довідник_мінералів!$A:$B,2,0),"-"))</f>
        <v/>
      </c>
      <c r="AZ75" s="46" t="n">
        <v>0.4</v>
      </c>
      <c r="BA75" s="46" t="inlineStr">
        <is>
          <t>селенометіонін</t>
        </is>
      </c>
      <c r="BB75" s="46">
        <f>IF(SE75="","",IFERROR(VLOOKUP(BA75,Довідник_мінералів!$A:$B,2,0),"-"))</f>
        <v/>
      </c>
      <c r="BC75" s="46" t="n"/>
      <c r="BD75" s="46" t="inlineStr">
        <is>
          <t>НОВЕЛЬНИЙ БІЛОК ягня; Омега-3 0.9%; для алергії на курку/птицю</t>
        </is>
      </c>
    </row>
    <row r="76" ht="40" customHeight="1">
      <c r="A76" s="52" t="inlineStr">
        <is>
          <t>farm_nd_quinoa_skin_dog</t>
        </is>
      </c>
      <c r="B76" s="52" t="inlineStr">
        <is>
          <t>Farmina</t>
        </is>
      </c>
      <c r="C76" s="52" t="inlineStr">
        <is>
          <t>N&amp;D Quinoa</t>
        </is>
      </c>
      <c r="D76" s="52" t="inlineStr">
        <is>
          <t>N&amp;D Quinoa Skin &amp; Coat Duck (сухий)</t>
        </is>
      </c>
      <c r="E76" s="52" t="inlineStr">
        <is>
          <t>сухий</t>
        </is>
      </c>
      <c r="F76" s="52" t="inlineStr">
        <is>
          <t>собака</t>
        </is>
      </c>
      <c r="G76" s="52" t="inlineStr">
        <is>
          <t>шкіра та шерсть / алергія</t>
        </is>
      </c>
      <c r="H76" s="52" t="n">
        <v>3700</v>
      </c>
      <c r="I76" s="52" t="inlineStr">
        <is>
          <t>https://www.farmina.com/ua</t>
        </is>
      </c>
      <c r="J76" s="52" t="n">
        <v>23</v>
      </c>
      <c r="K76" s="52" t="n">
        <v>12</v>
      </c>
      <c r="L76" s="52" t="n">
        <v>2.8</v>
      </c>
      <c r="M76" s="52" t="n">
        <v>7.9</v>
      </c>
      <c r="N76" s="52" t="n">
        <v>9</v>
      </c>
      <c r="O76">
        <f>IF(J76="","",ROUND(J76/(1-N76/100),1))</f>
        <v/>
      </c>
      <c r="P76">
        <f>IF(K76="","",ROUND(K76/(1-N76/100),1))</f>
        <v/>
      </c>
      <c r="Q76">
        <f>IF(L76="","",ROUND(L76/(1-N76/100),1))</f>
        <v/>
      </c>
      <c r="R76">
        <f>IF(M76="","",ROUND(M76/(1-N76/100),1))</f>
        <v/>
      </c>
      <c r="S76" s="52" t="inlineStr">
        <is>
          <t>Качка без кісток (20%), дегідратований качиний протеїн (20%), гороховий крохмаль, риб'ячий жир (з оселедця), екстракт насіння кіноа (8%), насіння льону, сушений кокос (2.5%), куркума (2.5%), інулін, ФОС, МОС, карбонат кальцію, дикальцій фосфат, подорожник, хлорид калію, хлорид натрію, дріжджі пивні, алое вера, глюкозамін, хондроїтин сульфат</t>
        </is>
      </c>
      <c r="T76" s="52" t="inlineStr">
        <is>
          <t>качка без кісток (20%)</t>
        </is>
      </c>
      <c r="U76" s="52" t="inlineStr">
        <is>
          <t>дегідратований качиний протеїн (20%)</t>
        </is>
      </c>
      <c r="V76" s="52" t="inlineStr">
        <is>
          <t>кіноа (8%)</t>
        </is>
      </c>
      <c r="W76" s="52" t="n">
        <v>18000</v>
      </c>
      <c r="X76" s="52" t="n">
        <v>1200</v>
      </c>
      <c r="Y76" s="52" t="n">
        <v>600</v>
      </c>
      <c r="Z76" s="52" t="n">
        <v>300</v>
      </c>
      <c r="AA76" s="52" t="n"/>
      <c r="AB76" s="52" t="n">
        <v>20</v>
      </c>
      <c r="AC76" s="52" t="n">
        <v>8.1</v>
      </c>
      <c r="AD76" s="52" t="n">
        <v>10</v>
      </c>
      <c r="AE76" s="52" t="n">
        <v>0.1</v>
      </c>
      <c r="AF76" s="52" t="n">
        <v>163.8</v>
      </c>
      <c r="AG76" s="52" t="inlineStr">
        <is>
          <t>хелат цинку гідрокси-аналогу метіоніну</t>
        </is>
      </c>
      <c r="AH76" s="52" t="n"/>
      <c r="AK76">
        <f>IF(AF76="","",IF(AH76="",IFERROR(VLOOKUP(AG76,Довідник_мінералів!$A:$B,2,0),"-"),ROUND(IFERROR(VLOOKUP(AG76,Довідник_мінералів!$A:$B,2,0),0)*AH76/100+IFERROR(VLOOKUP(AI76,Довідник_мінералів!$A:$B,2,0),0)*AJ76/100,0)))</f>
        <v/>
      </c>
      <c r="AL76" s="52" t="n">
        <v>58.3</v>
      </c>
      <c r="AM76" s="52" t="inlineStr">
        <is>
          <t>хелат заліза гідрату гліцину</t>
        </is>
      </c>
      <c r="AN76" s="52" t="n"/>
      <c r="AQ76">
        <f>IF(AL76="","",IF(AN76="",IFERROR(VLOOKUP(AM76,Довідник_мінералів!$A:$B,2,0),"-"),ROUND(IFERROR(VLOOKUP(AM76,Довідник_мінералів!$A:$B,2,0),0)*AN76/100+IFERROR(VLOOKUP(AO76,Довідник_мінералів!$A:$B,2,0),0)*AP76/100,0)))</f>
        <v/>
      </c>
      <c r="AR76" s="52" t="n">
        <v>15.8</v>
      </c>
      <c r="AS76" s="52" t="inlineStr">
        <is>
          <t>хелат міді гідрокси-аналогу метіоніну</t>
        </is>
      </c>
      <c r="AT76" s="52" t="n"/>
      <c r="AU76">
        <f>IF(AR76="","",IFERROR(VLOOKUP(AS76,Довідник_мінералів!$A:$B,2,0),"-"))</f>
        <v/>
      </c>
      <c r="AV76" s="52" t="n">
        <v>64.59999999999999</v>
      </c>
      <c r="AW76" s="52" t="inlineStr">
        <is>
          <t>хелат марганцю гідрокси-аналогу метіоніну</t>
        </is>
      </c>
      <c r="AX76" s="52" t="n"/>
      <c r="AY76">
        <f>IF(AV76="","",IFERROR(VLOOKUP(AW76,Довідник_мінералів!$A:$B,2,0),"-"))</f>
        <v/>
      </c>
      <c r="AZ76" s="52" t="n">
        <v>0.4</v>
      </c>
      <c r="BA76" s="52" t="inlineStr">
        <is>
          <t>селенометіонін</t>
        </is>
      </c>
      <c r="BB76" s="52">
        <f>IF(SE76="","",IFERROR(VLOOKUP(BA76,Довідник_мінералів!$A:$B,2,0),"-"))</f>
        <v/>
      </c>
      <c r="BC76" s="52" t="n"/>
      <c r="BD76" s="52" t="inlineStr">
        <is>
          <t>Ca 1.0%; P 0.8%; Омега-6 2.2%; Омега-3 0.4%; кокос; куркума; НОВЕЛЬНИЙ БІЛОК качка</t>
        </is>
      </c>
    </row>
    <row r="77" ht="40" customHeight="1">
      <c r="A77" s="46" t="inlineStr">
        <is>
          <t>farm_nd_quinoa_weight_dog</t>
        </is>
      </c>
      <c r="B77" s="46" t="inlineStr">
        <is>
          <t>Farmina</t>
        </is>
      </c>
      <c r="C77" s="46" t="inlineStr">
        <is>
          <t>N&amp;D Quinoa</t>
        </is>
      </c>
      <c r="D77" s="46" t="inlineStr">
        <is>
          <t>N&amp;D Quinoa Weight Management Duck (сухий)</t>
        </is>
      </c>
      <c r="E77" s="46" t="inlineStr">
        <is>
          <t>сухий</t>
        </is>
      </c>
      <c r="F77" s="46" t="inlineStr">
        <is>
          <t>собака</t>
        </is>
      </c>
      <c r="G77" s="46" t="inlineStr">
        <is>
          <t>зайва вага</t>
        </is>
      </c>
      <c r="H77" s="46" t="n">
        <v>3400</v>
      </c>
      <c r="I77" s="46" t="inlineStr">
        <is>
          <t>https://www.farmina.com/ua</t>
        </is>
      </c>
      <c r="J77" s="46" t="n">
        <v>34</v>
      </c>
      <c r="K77" s="46" t="n">
        <v>11</v>
      </c>
      <c r="L77" s="46" t="n">
        <v>6.4</v>
      </c>
      <c r="M77" s="46" t="n">
        <v>8.699999999999999</v>
      </c>
      <c r="N77" s="46" t="n">
        <v>9</v>
      </c>
      <c r="O77">
        <f>IF(J77="","",ROUND(J77/(1-N77/100),1))</f>
        <v/>
      </c>
      <c r="P77">
        <f>IF(K77="","",ROUND(K77/(1-N77/100),1))</f>
        <v/>
      </c>
      <c r="Q77">
        <f>IF(L77="","",ROUND(L77/(1-N77/100),1))</f>
        <v/>
      </c>
      <c r="R77">
        <f>IF(M77="","",ROUND(M77/(1-N77/100),1))</f>
        <v/>
      </c>
      <c r="S77" s="46" t="inlineStr">
        <is>
          <t>Качка без кісток (24%), дегідратований качиний протеїн (24%), гороховий крохмаль, риб'ячий жир, екстракт насіння кіноа (8%), насіння льону, куркума (2.5%), інулін, ФОС, МОС, L-карнітин, алое вера, глюкозамін, хондроїтин сульфат</t>
        </is>
      </c>
      <c r="T77" s="46" t="inlineStr">
        <is>
          <t>качка без кісток (24%)</t>
        </is>
      </c>
      <c r="U77" s="46" t="inlineStr">
        <is>
          <t>дегідратований качиний протеїн (24%)</t>
        </is>
      </c>
      <c r="V77" s="46" t="inlineStr">
        <is>
          <t>кіноа (8%)</t>
        </is>
      </c>
      <c r="W77" s="46" t="n">
        <v>18000</v>
      </c>
      <c r="X77" s="46" t="n">
        <v>1200</v>
      </c>
      <c r="Y77" s="46" t="n">
        <v>600</v>
      </c>
      <c r="Z77" s="46" t="n">
        <v>300</v>
      </c>
      <c r="AA77" s="46" t="n"/>
      <c r="AB77" s="46" t="n">
        <v>20</v>
      </c>
      <c r="AC77" s="46" t="n">
        <v>8.1</v>
      </c>
      <c r="AD77" s="46" t="n">
        <v>10</v>
      </c>
      <c r="AE77" s="46" t="n">
        <v>0.1</v>
      </c>
      <c r="AF77" s="46" t="n">
        <v>163.8</v>
      </c>
      <c r="AG77" s="46" t="inlineStr">
        <is>
          <t>хелат цинку гідрокси-аналогу метіоніну</t>
        </is>
      </c>
      <c r="AH77" s="46" t="n"/>
      <c r="AK77">
        <f>IF(AF77="","",IF(AH77="",IFERROR(VLOOKUP(AG77,Довідник_мінералів!$A:$B,2,0),"-"),ROUND(IFERROR(VLOOKUP(AG77,Довідник_мінералів!$A:$B,2,0),0)*AH77/100+IFERROR(VLOOKUP(AI77,Довідник_мінералів!$A:$B,2,0),0)*AJ77/100,0)))</f>
        <v/>
      </c>
      <c r="AL77" s="46" t="n">
        <v>58.3</v>
      </c>
      <c r="AM77" s="46" t="inlineStr">
        <is>
          <t>хелат заліза гідрату гліцину</t>
        </is>
      </c>
      <c r="AN77" s="46" t="n"/>
      <c r="AQ77">
        <f>IF(AL77="","",IF(AN77="",IFERROR(VLOOKUP(AM77,Довідник_мінералів!$A:$B,2,0),"-"),ROUND(IFERROR(VLOOKUP(AM77,Довідник_мінералів!$A:$B,2,0),0)*AN77/100+IFERROR(VLOOKUP(AO77,Довідник_мінералів!$A:$B,2,0),0)*AP77/100,0)))</f>
        <v/>
      </c>
      <c r="AR77" s="46" t="n">
        <v>15.8</v>
      </c>
      <c r="AS77" s="46" t="inlineStr">
        <is>
          <t>хелат міді гідрокси-аналогу метіоніну</t>
        </is>
      </c>
      <c r="AT77" s="46" t="n"/>
      <c r="AU77">
        <f>IF(AR77="","",IFERROR(VLOOKUP(AS77,Довідник_мінералів!$A:$B,2,0),"-"))</f>
        <v/>
      </c>
      <c r="AV77" s="46" t="n">
        <v>64.59999999999999</v>
      </c>
      <c r="AW77" s="46" t="inlineStr">
        <is>
          <t>хелат марганцю гідрокси-аналогу метіоніну</t>
        </is>
      </c>
      <c r="AX77" s="46" t="n"/>
      <c r="AY77">
        <f>IF(AV77="","",IFERROR(VLOOKUP(AW77,Довідник_мінералів!$A:$B,2,0),"-"))</f>
        <v/>
      </c>
      <c r="AZ77" s="46" t="n">
        <v>0.4</v>
      </c>
      <c r="BA77" s="46" t="inlineStr">
        <is>
          <t>селенометіонін</t>
        </is>
      </c>
      <c r="BB77" s="46">
        <f>IF(SE77="","",IFERROR(VLOOKUP(BA77,Довідник_мінералів!$A:$B,2,0),"-"))</f>
        <v/>
      </c>
      <c r="BC77" s="46" t="n"/>
      <c r="BD77" s="46" t="inlineStr">
        <is>
          <t>ЗНИЖЕНИЙ ЖИР 11%; ВИСОКА КЛІТКОВИНА 6.4%; L-карнітин; НОВЕЛЬНИЙ БІЛОК качка</t>
        </is>
      </c>
    </row>
    <row r="78" ht="40" customHeight="1">
      <c r="A78" s="53" t="inlineStr">
        <is>
          <t>grd_4meat_sterilised_cat</t>
        </is>
      </c>
      <c r="B78" s="53" t="inlineStr">
        <is>
          <t>Grandorf</t>
        </is>
      </c>
      <c r="C78" s="53" t="inlineStr">
        <is>
          <t>4 Meat Sterilised</t>
        </is>
      </c>
      <c r="D78" s="53" t="inlineStr">
        <is>
          <t>4 Meat &amp; Brown Rice Sterilised (сухий)</t>
        </is>
      </c>
      <c r="E78" s="53" t="inlineStr">
        <is>
          <t>сухий</t>
        </is>
      </c>
      <c r="F78" s="53" t="inlineStr">
        <is>
          <t>кіт</t>
        </is>
      </c>
      <c r="G78" s="53" t="inlineStr">
        <is>
          <t>стерилізовані / похилий вік</t>
        </is>
      </c>
      <c r="H78" s="53" t="n">
        <v>4083</v>
      </c>
      <c r="I78" s="53" t="inlineStr">
        <is>
          <t>https://grandorf.ua</t>
        </is>
      </c>
      <c r="J78" s="53" t="n">
        <v>37</v>
      </c>
      <c r="K78" s="53" t="n">
        <v>11</v>
      </c>
      <c r="L78" s="53" t="n">
        <v>2.5</v>
      </c>
      <c r="M78" s="53" t="n">
        <v>7</v>
      </c>
      <c r="N78" s="53" t="n">
        <v>6</v>
      </c>
      <c r="O78">
        <f>IF(J78="","",ROUND(J78/(1-N78/100),1))</f>
        <v/>
      </c>
      <c r="P78">
        <f>IF(K78="","",ROUND(K78/(1-N78/100),1))</f>
        <v/>
      </c>
      <c r="Q78">
        <f>IF(L78="","",ROUND(L78/(1-N78/100),1))</f>
        <v/>
      </c>
      <c r="R78">
        <f>IF(M78="","",ROUND(M78/(1-N78/100),1))</f>
        <v/>
      </c>
      <c r="S78" s="53" t="inlineStr">
        <is>
          <t>Дегідроване м'ясо індички (17%), дегідроване м'ясо качки (16%), дегідроване м'ясо дикого кабана (15%), цільнозерновий коричневий рис, сушений батат, дегідроване м'ясо ягняти (10%), свіже м'ясо індички (8%), жир індички (2%), борошно плодів ріжкового дерева, порошок коренів цикорію (ФОС та інулін), рослинна клітковина, пивні дріжджі (МОС), лососева олія (1%), сушений антарктичний криль (EPA і DHA, 1%), сушене яблуко, сушена журавлина, Юкка Шидігера</t>
        </is>
      </c>
      <c r="T78" s="53" t="inlineStr">
        <is>
          <t>дегідроване м'ясо індички (17%)</t>
        </is>
      </c>
      <c r="U78" s="53" t="inlineStr">
        <is>
          <t>дегідроване м'ясо качки (16%)</t>
        </is>
      </c>
      <c r="V78" s="53" t="inlineStr">
        <is>
          <t>дегідроване м'ясо дикого кабана (15%)</t>
        </is>
      </c>
      <c r="W78" s="53" t="n">
        <v>20000</v>
      </c>
      <c r="X78" s="53" t="n">
        <v>1500</v>
      </c>
      <c r="Y78" s="53" t="n">
        <v>600</v>
      </c>
      <c r="AF78" s="53" t="n">
        <v>100</v>
      </c>
      <c r="AG78" s="53" t="inlineStr">
        <is>
          <t>не вказано (3b605)</t>
        </is>
      </c>
      <c r="AK78">
        <f>IF(AF78="","",IF(AH78="",IFERROR(VLOOKUP(AG78,Довідник_мінералів!$A:$B,2,0),"-"),ROUND(IFERROR(VLOOKUP(AG78,Довідник_мінералів!$A:$B,2,0),0)*AH78/100+IFERROR(VLOOKUP(AI78,Довідник_мінералів!$A:$B,2,0),0)*AJ78/100,0)))</f>
        <v/>
      </c>
      <c r="AL78" s="53" t="n"/>
      <c r="AM78" s="53" t="inlineStr">
        <is>
          <t>не вказано (3b103)</t>
        </is>
      </c>
      <c r="AQ78">
        <f>IF(AL78="","",IF(AN78="",IFERROR(VLOOKUP(AM78,Довідник_мінералів!$A:$B,2,0),"-"),ROUND(IFERROR(VLOOKUP(AM78,Довідник_мінералів!$A:$B,2,0),0)*AN78/100+IFERROR(VLOOKUP(AO78,Довідник_мінералів!$A:$B,2,0),0)*AP78/100,0)))</f>
        <v/>
      </c>
      <c r="AR78" s="53" t="n">
        <v>5</v>
      </c>
      <c r="AS78" s="53" t="inlineStr">
        <is>
          <t>не вказано (3b405)</t>
        </is>
      </c>
      <c r="AU78">
        <f>IF(AR78="","",IFERROR(VLOOKUP(AS78,Довідник_мінералів!$A:$B,2,0),"-"))</f>
        <v/>
      </c>
      <c r="AV78" s="53" t="n">
        <v>15</v>
      </c>
      <c r="AW78" s="53" t="inlineStr">
        <is>
          <t>не вказано (3b503)</t>
        </is>
      </c>
      <c r="AY78">
        <f>IF(AV78="","",IFERROR(VLOOKUP(AW78,Довідник_мінералів!$A:$B,2,0),"-"))</f>
        <v/>
      </c>
      <c r="AZ78" s="53" t="n">
        <v>0.2</v>
      </c>
      <c r="BA78" s="53" t="inlineStr">
        <is>
          <t>не вказано (3b801)</t>
        </is>
      </c>
      <c r="BB78">
        <f>IF(SE78="","",IFERROR(VLOOKUP(BA78,Довідник_мінералів!$A:$B,2,0),"-"))</f>
        <v/>
      </c>
      <c r="BC78" s="53" t="n">
        <v>1.5</v>
      </c>
      <c r="BD78" s="53" t="inlineStr">
        <is>
          <t>Ca 1.4%; P 1.1%; Mg 0.1%; Омега-6 1.9%; Омега-3 0.6%; таурин 1500 мг/кг; L-карнітин 100 мг/кг; 10⁹ пробіотиків Enterococcus faecium; SYNOX 3D; антарктичний криль; pH сечі 6-6.5</t>
        </is>
      </c>
    </row>
    <row r="79" ht="40" customHeight="1">
      <c r="A79" s="46" t="inlineStr">
        <is>
          <t>grd_rabbit_turkey_sterilised_cat</t>
        </is>
      </c>
      <c r="B79" s="46" t="inlineStr">
        <is>
          <t>Grandorf</t>
        </is>
      </c>
      <c r="C79" s="46" t="inlineStr">
        <is>
          <t>Rabbit &amp; Turkey Sterilised</t>
        </is>
      </c>
      <c r="D79" s="46" t="inlineStr">
        <is>
          <t>Rabbit &amp; Turkey Sterilised (сухий)</t>
        </is>
      </c>
      <c r="E79" s="46" t="inlineStr">
        <is>
          <t>сухий</t>
        </is>
      </c>
      <c r="F79" s="46" t="inlineStr">
        <is>
          <t>кіт</t>
        </is>
      </c>
      <c r="G79" s="46" t="inlineStr">
        <is>
          <t>стерилізовані / алергія на птицю</t>
        </is>
      </c>
      <c r="H79" s="46" t="n"/>
      <c r="I79" s="46" t="inlineStr">
        <is>
          <t>https://grandorf.ua</t>
        </is>
      </c>
      <c r="J79" s="46" t="n">
        <v>37</v>
      </c>
      <c r="K79" s="46" t="n">
        <v>12</v>
      </c>
      <c r="L79" s="46" t="n">
        <v>3</v>
      </c>
      <c r="M79" s="46" t="n">
        <v>6</v>
      </c>
      <c r="N79" s="46" t="n">
        <v>6</v>
      </c>
      <c r="O79">
        <f>IF(J79="","",ROUND(J79/(1-N79/100),1))</f>
        <v/>
      </c>
      <c r="P79">
        <f>IF(K79="","",ROUND(K79/(1-N79/100),1))</f>
        <v/>
      </c>
      <c r="Q79">
        <f>IF(L79="","",ROUND(L79/(1-N79/100),1))</f>
        <v/>
      </c>
      <c r="R79">
        <f>IF(M79="","",ROUND(M79/(1-N79/100),1))</f>
        <v/>
      </c>
      <c r="S79" s="46" t="inlineStr">
        <is>
          <t>Дегідроване м'ясо кролика, дегідроване м'ясо індички, цільнозерновий коричневий рис, сушений батат, свіже м'ясо кролика, борошно плодів ріжкового дерева, порошок коренів цикорію (ФОС та інулін), рослинна клітковина, пивні дріжджі (МОС), лососева олія (1%), сушений антарктичний криль (EPA і DHA, 1%), сушене яблуко, сушена журавлина, куркума, Юкка Шидігера</t>
        </is>
      </c>
      <c r="T79" s="46" t="inlineStr">
        <is>
          <t>дегідроване м'ясо кролика</t>
        </is>
      </c>
      <c r="U79" s="46" t="inlineStr">
        <is>
          <t>дегідроване м'ясо індички</t>
        </is>
      </c>
      <c r="V79" s="46" t="inlineStr">
        <is>
          <t>лососева олія</t>
        </is>
      </c>
      <c r="W79" s="46" t="n">
        <v>20000</v>
      </c>
      <c r="X79" s="46" t="n">
        <v>1500</v>
      </c>
      <c r="Y79" s="46" t="n">
        <v>600</v>
      </c>
      <c r="AF79" s="46" t="n">
        <v>100</v>
      </c>
      <c r="AG79" s="46" t="inlineStr">
        <is>
          <t>не вказано (3b605)</t>
        </is>
      </c>
      <c r="AK79">
        <f>IF(AF79="","",IF(AH79="",IFERROR(VLOOKUP(AG79,Довідник_мінералів!$A:$B,2,0),"-"),ROUND(IFERROR(VLOOKUP(AG79,Довідник_мінералів!$A:$B,2,0),0)*AH79/100+IFERROR(VLOOKUP(AI79,Довідник_мінералів!$A:$B,2,0),0)*AJ79/100,0)))</f>
        <v/>
      </c>
      <c r="AL79" s="46" t="n"/>
      <c r="AM79" s="46" t="inlineStr">
        <is>
          <t>не вказано (3b103)</t>
        </is>
      </c>
      <c r="AQ79">
        <f>IF(AL79="","",IF(AN79="",IFERROR(VLOOKUP(AM79,Довідник_мінералів!$A:$B,2,0),"-"),ROUND(IFERROR(VLOOKUP(AM79,Довідник_мінералів!$A:$B,2,0),0)*AN79/100+IFERROR(VLOOKUP(AO79,Довідник_мінералів!$A:$B,2,0),0)*AP79/100,0)))</f>
        <v/>
      </c>
      <c r="AR79" s="46" t="n">
        <v>5</v>
      </c>
      <c r="AS79" s="46" t="inlineStr">
        <is>
          <t>не вказано (3b405)</t>
        </is>
      </c>
      <c r="AU79">
        <f>IF(AR79="","",IFERROR(VLOOKUP(AS79,Довідник_мінералів!$A:$B,2,0),"-"))</f>
        <v/>
      </c>
      <c r="AV79" s="46" t="n">
        <v>15</v>
      </c>
      <c r="AW79" s="46" t="inlineStr">
        <is>
          <t>не вказано (3b503)</t>
        </is>
      </c>
      <c r="AY79">
        <f>IF(AV79="","",IFERROR(VLOOKUP(AW79,Довідник_мінералів!$A:$B,2,0),"-"))</f>
        <v/>
      </c>
      <c r="AZ79" s="46" t="n">
        <v>0.2</v>
      </c>
      <c r="BA79" s="46" t="inlineStr">
        <is>
          <t>не вказано (3b801)</t>
        </is>
      </c>
      <c r="BB79">
        <f>IF(SE79="","",IFERROR(VLOOKUP(BA79,Довідник_мінералів!$A:$B,2,0),"-"))</f>
        <v/>
      </c>
      <c r="BC79" s="46" t="n">
        <v>1.5</v>
      </c>
      <c r="BD79" s="46" t="inlineStr">
        <is>
          <t>Ca 1.0%; P 0.8%; Mg 0.09%; Омега-6 2.6%; Омега-3 0.5%; таурин 1500 мг/кг; L-карнітин; НОВЕЛЬНИЙ БІЛОК кролик; pH сечі 6-6.5</t>
        </is>
      </c>
    </row>
    <row r="80" ht="40" customHeight="1">
      <c r="A80" s="53" t="inlineStr">
        <is>
          <t>grd_sterilised_turkey_cat</t>
        </is>
      </c>
      <c r="B80" s="53" t="inlineStr">
        <is>
          <t>Grandorf</t>
        </is>
      </c>
      <c r="C80" s="53" t="inlineStr">
        <is>
          <t>Turkey Sterilised</t>
        </is>
      </c>
      <c r="D80" s="53" t="inlineStr">
        <is>
          <t>Turkey &amp; Brown Rice Sterilised (сухий)</t>
        </is>
      </c>
      <c r="E80" s="53" t="inlineStr">
        <is>
          <t>сухий</t>
        </is>
      </c>
      <c r="F80" s="53" t="inlineStr">
        <is>
          <t>кіт</t>
        </is>
      </c>
      <c r="G80" s="53" t="inlineStr">
        <is>
          <t>стерилізовані</t>
        </is>
      </c>
      <c r="H80" s="53" t="n"/>
      <c r="I80" s="53" t="inlineStr">
        <is>
          <t>https://grandorf.ua</t>
        </is>
      </c>
      <c r="J80" s="53" t="n">
        <v>37</v>
      </c>
      <c r="K80" s="53" t="n">
        <v>11</v>
      </c>
      <c r="L80" s="53" t="n">
        <v>2.5</v>
      </c>
      <c r="M80" s="53" t="n">
        <v>7</v>
      </c>
      <c r="N80" s="53" t="n">
        <v>6</v>
      </c>
      <c r="O80">
        <f>IF(J80="","",ROUND(J80/(1-N80/100),1))</f>
        <v/>
      </c>
      <c r="P80">
        <f>IF(K80="","",ROUND(K80/(1-N80/100),1))</f>
        <v/>
      </c>
      <c r="Q80">
        <f>IF(L80="","",ROUND(L80/(1-N80/100),1))</f>
        <v/>
      </c>
      <c r="R80">
        <f>IF(M80="","",ROUND(M80/(1-N80/100),1))</f>
        <v/>
      </c>
      <c r="S80" s="53" t="inlineStr">
        <is>
          <t>Дегідроване м'ясо індички, цільнозерновий коричневий рис, свіже м'ясо індички, батат, борошно плодів ріжкового дерева, порошок коренів цикорію (ФОС та інулін), рослинна клітковина, пивні дріжджі (МОС), лососева олія (1%), антарктичний криль (EPA і DHA, 1%), сушене яблуко, журавлина, куркума, Юкка Шидігера</t>
        </is>
      </c>
      <c r="T80" s="53" t="inlineStr">
        <is>
          <t>дегідроване м'ясо індички</t>
        </is>
      </c>
      <c r="U80" s="53" t="inlineStr">
        <is>
          <t>свіже м'ясо індички</t>
        </is>
      </c>
      <c r="V80" s="53" t="inlineStr">
        <is>
          <t>лососева олія</t>
        </is>
      </c>
      <c r="W80" s="53" t="n">
        <v>20000</v>
      </c>
      <c r="X80" s="53" t="n">
        <v>1500</v>
      </c>
      <c r="Y80" s="53" t="n">
        <v>600</v>
      </c>
      <c r="AF80" s="53" t="n">
        <v>100</v>
      </c>
      <c r="AG80" s="53" t="inlineStr">
        <is>
          <t>не вказано (3b605)</t>
        </is>
      </c>
      <c r="AK80">
        <f>IF(AF80="","",IF(AH80="",IFERROR(VLOOKUP(AG80,Довідник_мінералів!$A:$B,2,0),"-"),ROUND(IFERROR(VLOOKUP(AG80,Довідник_мінералів!$A:$B,2,0),0)*AH80/100+IFERROR(VLOOKUP(AI80,Довідник_мінералів!$A:$B,2,0),0)*AJ80/100,0)))</f>
        <v/>
      </c>
      <c r="AL80" s="53" t="n"/>
      <c r="AM80" s="53" t="inlineStr">
        <is>
          <t>не вказано (3b103)</t>
        </is>
      </c>
      <c r="AQ80">
        <f>IF(AL80="","",IF(AN80="",IFERROR(VLOOKUP(AM80,Довідник_мінералів!$A:$B,2,0),"-"),ROUND(IFERROR(VLOOKUP(AM80,Довідник_мінералів!$A:$B,2,0),0)*AN80/100+IFERROR(VLOOKUP(AO80,Довідник_мінералів!$A:$B,2,0),0)*AP80/100,0)))</f>
        <v/>
      </c>
      <c r="AR80" s="53" t="n">
        <v>5</v>
      </c>
      <c r="AS80" s="53" t="inlineStr">
        <is>
          <t>не вказано (3b405)</t>
        </is>
      </c>
      <c r="AU80">
        <f>IF(AR80="","",IFERROR(VLOOKUP(AS80,Довідник_мінералів!$A:$B,2,0),"-"))</f>
        <v/>
      </c>
      <c r="AV80" s="53" t="n">
        <v>15</v>
      </c>
      <c r="AW80" s="53" t="inlineStr">
        <is>
          <t>не вказано (3b503)</t>
        </is>
      </c>
      <c r="AY80">
        <f>IF(AV80="","",IFERROR(VLOOKUP(AW80,Довідник_мінералів!$A:$B,2,0),"-"))</f>
        <v/>
      </c>
      <c r="AZ80" s="53" t="n">
        <v>0.2</v>
      </c>
      <c r="BA80" s="53" t="inlineStr">
        <is>
          <t>не вказано (3b801)</t>
        </is>
      </c>
      <c r="BB80">
        <f>IF(SE80="","",IFERROR(VLOOKUP(BA80,Довідник_мінералів!$A:$B,2,0),"-"))</f>
        <v/>
      </c>
      <c r="BC80" s="53" t="n">
        <v>1.5</v>
      </c>
      <c r="BD80" s="53" t="inlineStr">
        <is>
          <t>Ca 1.4%; P 1.1%; Mg 0.1%; моно-білок (тільки індичка); для котів з алергією на мультибілкові корми</t>
        </is>
      </c>
    </row>
    <row r="81" ht="40" customHeight="1">
      <c r="A81" s="46" t="inlineStr">
        <is>
          <t>grd_fresh_duck_sterilised_cat</t>
        </is>
      </c>
      <c r="B81" s="46" t="inlineStr">
        <is>
          <t>Grandorf</t>
        </is>
      </c>
      <c r="C81" s="46" t="inlineStr">
        <is>
          <t>Fresh Sterilised</t>
        </is>
      </c>
      <c r="D81" s="46" t="inlineStr">
        <is>
          <t>Fresh Duck &amp; Sweet Potato Sterilised (сухий)</t>
        </is>
      </c>
      <c r="E81" s="46" t="inlineStr">
        <is>
          <t>сухий</t>
        </is>
      </c>
      <c r="F81" s="46" t="inlineStr">
        <is>
          <t>кіт</t>
        </is>
      </c>
      <c r="G81" s="46" t="inlineStr">
        <is>
          <t>стерилізовані беззернові</t>
        </is>
      </c>
      <c r="H81" s="46" t="n">
        <v>3773</v>
      </c>
      <c r="I81" s="46" t="inlineStr">
        <is>
          <t>https://grandorf.ua</t>
        </is>
      </c>
      <c r="J81" s="46" t="n">
        <v>37</v>
      </c>
      <c r="K81" s="46" t="n">
        <v>11</v>
      </c>
      <c r="L81" s="46" t="n">
        <v>3.5</v>
      </c>
      <c r="M81" s="46" t="n">
        <v>7</v>
      </c>
      <c r="N81" s="46" t="n">
        <v>6</v>
      </c>
      <c r="O81">
        <f>IF(J81="","",ROUND(J81/(1-N81/100),1))</f>
        <v/>
      </c>
      <c r="P81">
        <f>IF(K81="","",ROUND(K81/(1-N81/100),1))</f>
        <v/>
      </c>
      <c r="Q81">
        <f>IF(L81="","",ROUND(L81/(1-N81/100),1))</f>
        <v/>
      </c>
      <c r="R81">
        <f>IF(M81="","",ROUND(M81/(1-N81/100),1))</f>
        <v/>
      </c>
      <c r="S81" s="46" t="inlineStr">
        <is>
          <t>Свіже качине м'ясо без кісток (26%), дегідратована індичка (24%), батат, горох, картопля, порошок коренів цикорію (ФОС та інулін), насіння льону, мінерали, жир індички (1%), пивні дріжджі (МОС та бета-глюкани), лососева олія (1%), яблука, морква, журавлина, чорниця, броколі, шпинат, помідори, глюкозамін (100 мг/кг), хондроїтин сульфат (100 мг/кг), юкка Шидігера, грейпфрут, розмарин, куркума</t>
        </is>
      </c>
      <c r="T81" s="46" t="inlineStr">
        <is>
          <t>свіже качине м'ясо без кісток (26%)</t>
        </is>
      </c>
      <c r="U81" s="46" t="inlineStr">
        <is>
          <t>дегідратована індичка (24%)</t>
        </is>
      </c>
      <c r="V81" s="46" t="inlineStr">
        <is>
          <t>батат</t>
        </is>
      </c>
      <c r="W81" s="46" t="n">
        <v>20000</v>
      </c>
      <c r="X81" s="46" t="n">
        <v>1500</v>
      </c>
      <c r="Y81" s="46" t="n">
        <v>600</v>
      </c>
      <c r="AF81" s="46" t="n">
        <v>100</v>
      </c>
      <c r="AG81" s="46" t="inlineStr">
        <is>
          <t>не вказано (3b605)</t>
        </is>
      </c>
      <c r="AK81">
        <f>IF(AF81="","",IF(AH81="",IFERROR(VLOOKUP(AG81,Довідник_мінералів!$A:$B,2,0),"-"),ROUND(IFERROR(VLOOKUP(AG81,Довідник_мінералів!$A:$B,2,0),0)*AH81/100+IFERROR(VLOOKUP(AI81,Довідник_мінералів!$A:$B,2,0),0)*AJ81/100,0)))</f>
        <v/>
      </c>
      <c r="AL81" s="46" t="n"/>
      <c r="AM81" s="46" t="inlineStr">
        <is>
          <t>не вказано (3b103)</t>
        </is>
      </c>
      <c r="AQ81">
        <f>IF(AL81="","",IF(AN81="",IFERROR(VLOOKUP(AM81,Довідник_мінералів!$A:$B,2,0),"-"),ROUND(IFERROR(VLOOKUP(AM81,Довідник_мінералів!$A:$B,2,0),0)*AN81/100+IFERROR(VLOOKUP(AO81,Довідник_мінералів!$A:$B,2,0),0)*AP81/100,0)))</f>
        <v/>
      </c>
      <c r="AR81" s="46" t="n">
        <v>5</v>
      </c>
      <c r="AS81" s="46" t="inlineStr">
        <is>
          <t>не вказано (3b405)</t>
        </is>
      </c>
      <c r="AU81">
        <f>IF(AR81="","",IFERROR(VLOOKUP(AS81,Довідник_мінералів!$A:$B,2,0),"-"))</f>
        <v/>
      </c>
      <c r="AV81" s="46" t="n">
        <v>15</v>
      </c>
      <c r="AW81" s="46" t="inlineStr">
        <is>
          <t>не вказано (3b503)</t>
        </is>
      </c>
      <c r="AY81">
        <f>IF(AV81="","",IFERROR(VLOOKUP(AW81,Довідник_мінералів!$A:$B,2,0),"-"))</f>
        <v/>
      </c>
      <c r="AZ81" s="46" t="n">
        <v>0.2</v>
      </c>
      <c r="BA81" s="46" t="inlineStr">
        <is>
          <t>не вказано (3b801)</t>
        </is>
      </c>
      <c r="BB81">
        <f>IF(SE81="","",IFERROR(VLOOKUP(BA81,Довідник_мінералів!$A:$B,2,0),"-"))</f>
        <v/>
      </c>
      <c r="BC81" s="46" t="n">
        <v>1.5</v>
      </c>
      <c r="BD81" s="46" t="inlineStr">
        <is>
          <t>Ca 1.1%; P 0.8%; Mg 0.09%; Омега-3 0.8%; Омега-6 2.3%; БЕЗЗЕРНОВИЙ; 10⁹ пробіотиків; броколі, шпинат, помідори</t>
        </is>
      </c>
    </row>
    <row r="82" ht="40" customHeight="1">
      <c r="A82" s="53" t="inlineStr">
        <is>
          <t>grd_fresh_turkey_sterilised_cat</t>
        </is>
      </c>
      <c r="B82" s="53" t="inlineStr">
        <is>
          <t>Grandorf</t>
        </is>
      </c>
      <c r="C82" s="53" t="inlineStr">
        <is>
          <t>Fresh Sterilised</t>
        </is>
      </c>
      <c r="D82" s="53" t="inlineStr">
        <is>
          <t>Fresh Turkey &amp; Sweet Potato Sterilised (сухий)</t>
        </is>
      </c>
      <c r="E82" s="53" t="inlineStr">
        <is>
          <t>сухий</t>
        </is>
      </c>
      <c r="F82" s="53" t="inlineStr">
        <is>
          <t>кіт</t>
        </is>
      </c>
      <c r="G82" s="53" t="inlineStr">
        <is>
          <t>стерилізовані беззернові</t>
        </is>
      </c>
      <c r="H82" s="53" t="n">
        <v>3762</v>
      </c>
      <c r="I82" s="53" t="inlineStr">
        <is>
          <t>https://grandorf.ua</t>
        </is>
      </c>
      <c r="J82" s="53" t="n">
        <v>36</v>
      </c>
      <c r="K82" s="53" t="n">
        <v>10</v>
      </c>
      <c r="L82" s="53" t="n">
        <v>3.5</v>
      </c>
      <c r="M82" s="53" t="n">
        <v>7</v>
      </c>
      <c r="N82" s="53" t="n">
        <v>6</v>
      </c>
      <c r="O82">
        <f>IF(J82="","",ROUND(J82/(1-N82/100),1))</f>
        <v/>
      </c>
      <c r="P82">
        <f>IF(K82="","",ROUND(K82/(1-N82/100),1))</f>
        <v/>
      </c>
      <c r="Q82">
        <f>IF(L82="","",ROUND(L82/(1-N82/100),1))</f>
        <v/>
      </c>
      <c r="R82">
        <f>IF(M82="","",ROUND(M82/(1-N82/100),1))</f>
        <v/>
      </c>
      <c r="S82" s="53" t="inlineStr">
        <is>
          <t>Свіже м'ясо індички без кісток (26%), дегідратована індичка (24%), батат, горох, картопля, жир індички (2%), порошок коренів цикорію (ФОС та інулін), насіння льону, мінерали, пивні дріжджі (МОС та бета-глюкани), лососева олія (0.5%), яблука, морква, журавлина, чорниця, броколі, шпинат, помідори, глюкозамін (100 мг/кг), хондроїтин сульфат (100 мг/кг), юкка Шидігера, грейпфрут, розмарин, куркума</t>
        </is>
      </c>
      <c r="T82" s="53" t="inlineStr">
        <is>
          <t>свіже м'ясо індички без кісток (26%)</t>
        </is>
      </c>
      <c r="U82" s="53" t="inlineStr">
        <is>
          <t>дегідратована індичка (24%)</t>
        </is>
      </c>
      <c r="V82" s="53" t="inlineStr">
        <is>
          <t>батат</t>
        </is>
      </c>
      <c r="W82" s="53" t="n">
        <v>20000</v>
      </c>
      <c r="X82" s="53" t="n">
        <v>1500</v>
      </c>
      <c r="Y82" s="53" t="n">
        <v>600</v>
      </c>
      <c r="AF82" s="53" t="n">
        <v>100</v>
      </c>
      <c r="AG82" s="53" t="inlineStr">
        <is>
          <t>не вказано (3b605)</t>
        </is>
      </c>
      <c r="AK82">
        <f>IF(AF82="","",IF(AH82="",IFERROR(VLOOKUP(AG82,Довідник_мінералів!$A:$B,2,0),"-"),ROUND(IFERROR(VLOOKUP(AG82,Довідник_мінералів!$A:$B,2,0),0)*AH82/100+IFERROR(VLOOKUP(AI82,Довідник_мінералів!$A:$B,2,0),0)*AJ82/100,0)))</f>
        <v/>
      </c>
      <c r="AL82" s="53" t="n"/>
      <c r="AM82" s="53" t="inlineStr">
        <is>
          <t>не вказано (3b103)</t>
        </is>
      </c>
      <c r="AQ82">
        <f>IF(AL82="","",IF(AN82="",IFERROR(VLOOKUP(AM82,Довідник_мінералів!$A:$B,2,0),"-"),ROUND(IFERROR(VLOOKUP(AM82,Довідник_мінералів!$A:$B,2,0),0)*AN82/100+IFERROR(VLOOKUP(AO82,Довідник_мінералів!$A:$B,2,0),0)*AP82/100,0)))</f>
        <v/>
      </c>
      <c r="AR82" s="53" t="n">
        <v>5</v>
      </c>
      <c r="AS82" s="53" t="inlineStr">
        <is>
          <t>не вказано (3b405)</t>
        </is>
      </c>
      <c r="AU82">
        <f>IF(AR82="","",IFERROR(VLOOKUP(AS82,Довідник_мінералів!$A:$B,2,0),"-"))</f>
        <v/>
      </c>
      <c r="AV82" s="53" t="n">
        <v>15</v>
      </c>
      <c r="AW82" s="53" t="inlineStr">
        <is>
          <t>не вказано (3b503)</t>
        </is>
      </c>
      <c r="AY82">
        <f>IF(AV82="","",IFERROR(VLOOKUP(AW82,Довідник_мінералів!$A:$B,2,0),"-"))</f>
        <v/>
      </c>
      <c r="AZ82" s="53" t="n">
        <v>0.2</v>
      </c>
      <c r="BA82" s="53" t="inlineStr">
        <is>
          <t>не вказано (3b801)</t>
        </is>
      </c>
      <c r="BB82">
        <f>IF(SE82="","",IFERROR(VLOOKUP(BA82,Довідник_мінералів!$A:$B,2,0),"-"))</f>
        <v/>
      </c>
      <c r="BC82" s="53" t="n">
        <v>1.5</v>
      </c>
      <c r="BD82" s="53" t="inlineStr">
        <is>
          <t>Ca 1.1%; P 0.8%; Mg 0.09%; Омега-3 0.9%; Омега-6 2.2%; БЕЗЗЕРНОВИЙ; ЗНИЖЕНИЙ ЖИР 10%; 10⁹ пробіотиків</t>
        </is>
      </c>
    </row>
    <row r="83" ht="40" customHeight="1">
      <c r="A83" s="46" t="inlineStr">
        <is>
          <t>grd_fresh_salmon_sterilised_cat</t>
        </is>
      </c>
      <c r="B83" s="46" t="inlineStr">
        <is>
          <t>Grandorf</t>
        </is>
      </c>
      <c r="C83" s="46" t="inlineStr">
        <is>
          <t>Fresh Sterilised</t>
        </is>
      </c>
      <c r="D83" s="46" t="inlineStr">
        <is>
          <t>Fresh Salmon &amp; Sweet Potato Sterilised (сухий)</t>
        </is>
      </c>
      <c r="E83" s="46" t="inlineStr">
        <is>
          <t>сухий</t>
        </is>
      </c>
      <c r="F83" s="46" t="inlineStr">
        <is>
          <t>кіт</t>
        </is>
      </c>
      <c r="G83" s="46" t="inlineStr">
        <is>
          <t>стерилізовані беззернові / риба</t>
        </is>
      </c>
      <c r="H83" s="46" t="n"/>
      <c r="I83" s="46" t="inlineStr">
        <is>
          <t>https://grandorf.ua</t>
        </is>
      </c>
      <c r="J83" s="46" t="n">
        <v>37</v>
      </c>
      <c r="K83" s="46" t="n">
        <v>11</v>
      </c>
      <c r="L83" s="46" t="n">
        <v>3.5</v>
      </c>
      <c r="M83" s="46" t="n">
        <v>7</v>
      </c>
      <c r="N83" s="46" t="n">
        <v>6</v>
      </c>
      <c r="O83">
        <f>IF(J83="","",ROUND(J83/(1-N83/100),1))</f>
        <v/>
      </c>
      <c r="P83">
        <f>IF(K83="","",ROUND(K83/(1-N83/100),1))</f>
        <v/>
      </c>
      <c r="Q83">
        <f>IF(L83="","",ROUND(L83/(1-N83/100),1))</f>
        <v/>
      </c>
      <c r="R83">
        <f>IF(M83="","",ROUND(M83/(1-N83/100),1))</f>
        <v/>
      </c>
      <c r="S83" s="46" t="inlineStr">
        <is>
          <t>Свіже філе лосося без кісток (26%), дегідратована індичка (24%), батат, горох, картопля, порошок коренів цикорію (ФОС та інулін), насіння льону, мінерали, жир індички (1%), пивні дріжджі (МОС та бета-глюкани), лососева олія (1%), яблука, морква, журавлина, чорниця, броколі, шпинат, помідори, глюкозамін (100 мг/кг), хондроїтин сульфат (100 мг/кг), юкка Шидігера, грейпфрут, розмарин, куркума</t>
        </is>
      </c>
      <c r="T83" s="46" t="inlineStr">
        <is>
          <t>свіже філе лосося без кісток (26%)</t>
        </is>
      </c>
      <c r="U83" s="46" t="inlineStr">
        <is>
          <t>дегідратована індичка (24%)</t>
        </is>
      </c>
      <c r="V83" s="46" t="inlineStr">
        <is>
          <t>батат</t>
        </is>
      </c>
      <c r="W83" s="46" t="n">
        <v>20000</v>
      </c>
      <c r="X83" s="46" t="n">
        <v>1500</v>
      </c>
      <c r="Y83" s="46" t="n">
        <v>600</v>
      </c>
      <c r="AF83" s="46" t="n">
        <v>100</v>
      </c>
      <c r="AG83" s="46" t="inlineStr">
        <is>
          <t>не вказано (3b605)</t>
        </is>
      </c>
      <c r="AK83">
        <f>IF(AF83="","",IF(AH83="",IFERROR(VLOOKUP(AG83,Довідник_мінералів!$A:$B,2,0),"-"),ROUND(IFERROR(VLOOKUP(AG83,Довідник_мінералів!$A:$B,2,0),0)*AH83/100+IFERROR(VLOOKUP(AI83,Довідник_мінералів!$A:$B,2,0),0)*AJ83/100,0)))</f>
        <v/>
      </c>
      <c r="AL83" s="46" t="n"/>
      <c r="AM83" s="46" t="inlineStr">
        <is>
          <t>не вказано (3b103)</t>
        </is>
      </c>
      <c r="AQ83">
        <f>IF(AL83="","",IF(AN83="",IFERROR(VLOOKUP(AM83,Довідник_мінералів!$A:$B,2,0),"-"),ROUND(IFERROR(VLOOKUP(AM83,Довідник_мінералів!$A:$B,2,0),0)*AN83/100+IFERROR(VLOOKUP(AO83,Довідник_мінералів!$A:$B,2,0),0)*AP83/100,0)))</f>
        <v/>
      </c>
      <c r="AR83" s="46" t="n">
        <v>5</v>
      </c>
      <c r="AS83" s="46" t="inlineStr">
        <is>
          <t>не вказано (3b405)</t>
        </is>
      </c>
      <c r="AU83">
        <f>IF(AR83="","",IFERROR(VLOOKUP(AS83,Довідник_мінералів!$A:$B,2,0),"-"))</f>
        <v/>
      </c>
      <c r="AV83" s="46" t="n">
        <v>15</v>
      </c>
      <c r="AW83" s="46" t="inlineStr">
        <is>
          <t>не вказано (3b503)</t>
        </is>
      </c>
      <c r="AY83">
        <f>IF(AV83="","",IFERROR(VLOOKUP(AW83,Довідник_мінералів!$A:$B,2,0),"-"))</f>
        <v/>
      </c>
      <c r="AZ83" s="46" t="n">
        <v>0.2</v>
      </c>
      <c r="BA83" s="46" t="inlineStr">
        <is>
          <t>не вказано (3b801)</t>
        </is>
      </c>
      <c r="BB83">
        <f>IF(SE83="","",IFERROR(VLOOKUP(BA83,Довідник_мінералів!$A:$B,2,0),"-"))</f>
        <v/>
      </c>
      <c r="BC83" s="46" t="n">
        <v>1.5</v>
      </c>
      <c r="BD83" s="46" t="inlineStr">
        <is>
          <t>Ca 1.1%; P 0.8%; БЕЗЗЕРНОВИЙ; НОВЕЛЬНИЙ БІЛОК лосось; для алергіків на птицю</t>
        </is>
      </c>
    </row>
    <row r="84" ht="40" customHeight="1">
      <c r="A84" s="53" t="inlineStr">
        <is>
          <t>grd_wet_chicken_tuna_cat</t>
        </is>
      </c>
      <c r="B84" s="53" t="inlineStr">
        <is>
          <t>Grandorf</t>
        </is>
      </c>
      <c r="C84" s="53" t="inlineStr">
        <is>
          <t>Wet Cat</t>
        </is>
      </c>
      <c r="D84" s="53" t="inlineStr">
        <is>
          <t>Chicken Fillet &amp; Tuna (вологий)</t>
        </is>
      </c>
      <c r="E84" s="53" t="inlineStr">
        <is>
          <t>вологий</t>
        </is>
      </c>
      <c r="F84" s="53" t="inlineStr">
        <is>
          <t>кіт</t>
        </is>
      </c>
      <c r="G84" s="53" t="inlineStr">
        <is>
          <t>здоровий дорослий</t>
        </is>
      </c>
      <c r="H84" s="53" t="n"/>
      <c r="I84" s="53" t="inlineStr">
        <is>
          <t>https://grandorf.ua</t>
        </is>
      </c>
      <c r="J84" s="53" t="n">
        <v>16</v>
      </c>
      <c r="K84" s="53" t="n">
        <v>2</v>
      </c>
      <c r="L84" s="53" t="n">
        <v>0.5</v>
      </c>
      <c r="M84" s="53" t="n">
        <v>2</v>
      </c>
      <c r="N84" s="53" t="n">
        <v>80</v>
      </c>
      <c r="O84">
        <f>IF(J84="","",ROUND(J84/(1-N84/100),1))</f>
        <v/>
      </c>
      <c r="P84">
        <f>IF(K84="","",ROUND(K84/(1-N84/100),1))</f>
        <v/>
      </c>
      <c r="Q84">
        <f>IF(L84="","",ROUND(L84/(1-N84/100),1))</f>
        <v/>
      </c>
      <c r="R84">
        <f>IF(M84="","",ROUND(M84/(1-N84/100),1))</f>
        <v/>
      </c>
      <c r="S84" s="53" t="inlineStr">
        <is>
          <t>Куряча грудка 45%, тунець 20%, вода, рослинна камедь, вітаміни та мінерали</t>
        </is>
      </c>
      <c r="T84" s="53" t="inlineStr">
        <is>
          <t>куряча грудка (45%)</t>
        </is>
      </c>
      <c r="U84" s="53" t="inlineStr">
        <is>
          <t>тунець (20%)</t>
        </is>
      </c>
      <c r="V84" s="53" t="n"/>
      <c r="W84" s="53" t="n"/>
      <c r="X84" s="53" t="n"/>
      <c r="Y84" s="53" t="n"/>
      <c r="AF84" s="53" t="n"/>
      <c r="AG84" s="53" t="inlineStr">
        <is>
          <t>не вказано</t>
        </is>
      </c>
      <c r="AK84">
        <f>IF(AF84="","",IF(AH84="",IFERROR(VLOOKUP(AG84,Довідник_мінералів!$A:$B,2,0),"-"),ROUND(IFERROR(VLOOKUP(AG84,Довідник_мінералів!$A:$B,2,0),0)*AH84/100+IFERROR(VLOOKUP(AI84,Довідник_мінералів!$A:$B,2,0),0)*AJ84/100,0)))</f>
        <v/>
      </c>
      <c r="AL84" s="53" t="n"/>
      <c r="AM84" s="53" t="inlineStr">
        <is>
          <t>не вказано</t>
        </is>
      </c>
      <c r="AQ84">
        <f>IF(AL84="","",IF(AN84="",IFERROR(VLOOKUP(AM84,Довідник_мінералів!$A:$B,2,0),"-"),ROUND(IFERROR(VLOOKUP(AM84,Довідник_мінералів!$A:$B,2,0),0)*AN84/100+IFERROR(VLOOKUP(AO84,Довідник_мінералів!$A:$B,2,0),0)*AP84/100,0)))</f>
        <v/>
      </c>
      <c r="AR84" s="53" t="n"/>
      <c r="AS84" s="53" t="inlineStr">
        <is>
          <t>не вказано</t>
        </is>
      </c>
      <c r="AU84">
        <f>IF(AR84="","",IFERROR(VLOOKUP(AS84,Довідник_мінералів!$A:$B,2,0),"-"))</f>
        <v/>
      </c>
      <c r="AV84" s="53" t="n"/>
      <c r="AW84" s="53" t="inlineStr">
        <is>
          <t>не вказано</t>
        </is>
      </c>
      <c r="AY84">
        <f>IF(AV84="","",IFERROR(VLOOKUP(AW84,Довідник_мінералів!$A:$B,2,0),"-"))</f>
        <v/>
      </c>
      <c r="AZ84" s="53" t="n"/>
      <c r="BA84" s="53" t="inlineStr">
        <is>
          <t>не вказано</t>
        </is>
      </c>
      <c r="BB84">
        <f>IF(SE84="","",IFERROR(VLOOKUP(BA84,Довідник_мінералів!$A:$B,2,0),"-"))</f>
        <v/>
      </c>
      <c r="BC84" s="53" t="n"/>
      <c r="BD84" s="53" t="inlineStr">
        <is>
          <t>Філе в желе; без загусників; без зернових; тільки м'ясо та риба</t>
        </is>
      </c>
    </row>
    <row r="85" ht="40" customHeight="1">
      <c r="A85" s="46" t="inlineStr">
        <is>
          <t>grd_wet_tuna_shrimp_cat</t>
        </is>
      </c>
      <c r="B85" s="46" t="inlineStr">
        <is>
          <t>Grandorf</t>
        </is>
      </c>
      <c r="C85" s="46" t="inlineStr">
        <is>
          <t>Wet Cat</t>
        </is>
      </c>
      <c r="D85" s="46" t="inlineStr">
        <is>
          <t>Tuna Fillet &amp; Shrimps (вологий)</t>
        </is>
      </c>
      <c r="E85" s="46" t="inlineStr">
        <is>
          <t>вологий</t>
        </is>
      </c>
      <c r="F85" s="46" t="inlineStr">
        <is>
          <t>кіт</t>
        </is>
      </c>
      <c r="G85" s="46" t="inlineStr">
        <is>
          <t>здоровий дорослий</t>
        </is>
      </c>
      <c r="H85" s="46" t="n"/>
      <c r="I85" s="46" t="inlineStr">
        <is>
          <t>https://grandorf.ua</t>
        </is>
      </c>
      <c r="J85" s="46" t="n">
        <v>14</v>
      </c>
      <c r="K85" s="46" t="n">
        <v>1.5</v>
      </c>
      <c r="L85" s="46" t="n">
        <v>0.5</v>
      </c>
      <c r="M85" s="46" t="n">
        <v>2</v>
      </c>
      <c r="N85" s="46" t="n">
        <v>80</v>
      </c>
      <c r="O85">
        <f>IF(J85="","",ROUND(J85/(1-N85/100),1))</f>
        <v/>
      </c>
      <c r="P85">
        <f>IF(K85="","",ROUND(K85/(1-N85/100),1))</f>
        <v/>
      </c>
      <c r="Q85">
        <f>IF(L85="","",ROUND(L85/(1-N85/100),1))</f>
        <v/>
      </c>
      <c r="R85">
        <f>IF(M85="","",ROUND(M85/(1-N85/100),1))</f>
        <v/>
      </c>
      <c r="S85" s="46" t="inlineStr">
        <is>
          <t>Філе тунця 45%, креветки 20%, вода, рослинна камедь, вітаміни та мінерали</t>
        </is>
      </c>
      <c r="T85" s="46" t="inlineStr">
        <is>
          <t>філе тунця (45%)</t>
        </is>
      </c>
      <c r="U85" s="46" t="inlineStr">
        <is>
          <t>креветки (20%)</t>
        </is>
      </c>
      <c r="V85" s="46" t="n"/>
      <c r="W85" s="46" t="n"/>
      <c r="X85" s="46" t="n"/>
      <c r="Y85" s="46" t="n"/>
      <c r="AF85" s="46" t="n"/>
      <c r="AG85" s="46" t="inlineStr">
        <is>
          <t>не вказано</t>
        </is>
      </c>
      <c r="AK85">
        <f>IF(AF85="","",IF(AH85="",IFERROR(VLOOKUP(AG85,Довідник_мінералів!$A:$B,2,0),"-"),ROUND(IFERROR(VLOOKUP(AG85,Довідник_мінералів!$A:$B,2,0),0)*AH85/100+IFERROR(VLOOKUP(AI85,Довідник_мінералів!$A:$B,2,0),0)*AJ85/100,0)))</f>
        <v/>
      </c>
      <c r="AL85" s="46" t="n"/>
      <c r="AM85" s="46" t="inlineStr">
        <is>
          <t>не вказано</t>
        </is>
      </c>
      <c r="AQ85">
        <f>IF(AL85="","",IF(AN85="",IFERROR(VLOOKUP(AM85,Довідник_мінералів!$A:$B,2,0),"-"),ROUND(IFERROR(VLOOKUP(AM85,Довідник_мінералів!$A:$B,2,0),0)*AN85/100+IFERROR(VLOOKUP(AO85,Довідник_мінералів!$A:$B,2,0),0)*AP85/100,0)))</f>
        <v/>
      </c>
      <c r="AR85" s="46" t="n"/>
      <c r="AS85" s="46" t="inlineStr">
        <is>
          <t>не вказано</t>
        </is>
      </c>
      <c r="AU85">
        <f>IF(AR85="","",IFERROR(VLOOKUP(AS85,Довідник_мінералів!$A:$B,2,0),"-"))</f>
        <v/>
      </c>
      <c r="AV85" s="46" t="n"/>
      <c r="AW85" s="46" t="inlineStr">
        <is>
          <t>не вказано</t>
        </is>
      </c>
      <c r="AY85">
        <f>IF(AV85="","",IFERROR(VLOOKUP(AW85,Довідник_мінералів!$A:$B,2,0),"-"))</f>
        <v/>
      </c>
      <c r="AZ85" s="46" t="n"/>
      <c r="BA85" s="46" t="inlineStr">
        <is>
          <t>не вказано</t>
        </is>
      </c>
      <c r="BB85">
        <f>IF(SE85="","",IFERROR(VLOOKUP(BA85,Довідник_мінералів!$A:$B,2,0),"-"))</f>
        <v/>
      </c>
      <c r="BC85" s="46" t="n"/>
      <c r="BD85" s="46" t="inlineStr">
        <is>
          <t>Філе в желе; без зернових; мінімальний склад</t>
        </is>
      </c>
    </row>
    <row r="86" ht="40" customHeight="1">
      <c r="A86" s="53" t="inlineStr">
        <is>
          <t>grd_4meat_adult_dog</t>
        </is>
      </c>
      <c r="B86" s="53" t="inlineStr">
        <is>
          <t>Grandorf</t>
        </is>
      </c>
      <c r="C86" s="53" t="inlineStr">
        <is>
          <t>4 Meat Adult</t>
        </is>
      </c>
      <c r="D86" s="53" t="inlineStr">
        <is>
          <t>4 Meat &amp; Brown Rice Adult (сухий)</t>
        </is>
      </c>
      <c r="E86" s="53" t="inlineStr">
        <is>
          <t>сухий</t>
        </is>
      </c>
      <c r="F86" s="53" t="inlineStr">
        <is>
          <t>собака</t>
        </is>
      </c>
      <c r="G86" s="53" t="inlineStr">
        <is>
          <t>здоровий дорослий всіх порід</t>
        </is>
      </c>
      <c r="H86" s="53" t="n"/>
      <c r="I86" s="53" t="inlineStr">
        <is>
          <t>https://grandorf.ua</t>
        </is>
      </c>
      <c r="J86" s="53" t="n">
        <v>30</v>
      </c>
      <c r="K86" s="53" t="n">
        <v>18</v>
      </c>
      <c r="L86" s="53" t="n">
        <v>2.5</v>
      </c>
      <c r="M86" s="53" t="n">
        <v>7</v>
      </c>
      <c r="N86" s="53" t="n">
        <v>6</v>
      </c>
      <c r="O86">
        <f>IF(J86="","",ROUND(J86/(1-N86/100),1))</f>
        <v/>
      </c>
      <c r="P86">
        <f>IF(K86="","",ROUND(K86/(1-N86/100),1))</f>
        <v/>
      </c>
      <c r="Q86">
        <f>IF(L86="","",ROUND(L86/(1-N86/100),1))</f>
        <v/>
      </c>
      <c r="R86">
        <f>IF(M86="","",ROUND(M86/(1-N86/100),1))</f>
        <v/>
      </c>
      <c r="S86" s="53" t="inlineStr">
        <is>
          <t>Дегідроване м'ясо індички, дегідроване м'ясо качки, дегідроване м'ясо кабана, цільнозерновий коричневий рис, дегідроване м'ясо ягняти, свіже м'ясо індички, жир індички, борошно плодів ріжкового дерева, порошок коренів цикорію (ФОС та інулін), рослинна клітковина, пивні дріжджі (МОС), лососева олія (1%), антарктичний криль (EPA і DHA, 1%), журавлина, куркума, Юкка Шидігера</t>
        </is>
      </c>
      <c r="T86" s="53" t="inlineStr">
        <is>
          <t>дегідроване м'ясо індички</t>
        </is>
      </c>
      <c r="U86" s="53" t="inlineStr">
        <is>
          <t>дегідроване м'ясо качки</t>
        </is>
      </c>
      <c r="V86" s="53" t="inlineStr">
        <is>
          <t>дегідроване м'ясо кабана</t>
        </is>
      </c>
      <c r="W86" s="53" t="n">
        <v>20000</v>
      </c>
      <c r="X86" s="53" t="n">
        <v>1500</v>
      </c>
      <c r="Y86" s="53" t="n">
        <v>600</v>
      </c>
      <c r="AF86" s="53" t="n">
        <v>100</v>
      </c>
      <c r="AG86" s="53" t="inlineStr">
        <is>
          <t>не вказано (3b605)</t>
        </is>
      </c>
      <c r="AK86">
        <f>IF(AF86="","",IF(AH86="",IFERROR(VLOOKUP(AG86,Довідник_мінералів!$A:$B,2,0),"-"),ROUND(IFERROR(VLOOKUP(AG86,Довідник_мінералів!$A:$B,2,0),0)*AH86/100+IFERROR(VLOOKUP(AI86,Довідник_мінералів!$A:$B,2,0),0)*AJ86/100,0)))</f>
        <v/>
      </c>
      <c r="AL86" s="53" t="n"/>
      <c r="AM86" s="53" t="inlineStr">
        <is>
          <t>не вказано (3b103)</t>
        </is>
      </c>
      <c r="AQ86">
        <f>IF(AL86="","",IF(AN86="",IFERROR(VLOOKUP(AM86,Довідник_мінералів!$A:$B,2,0),"-"),ROUND(IFERROR(VLOOKUP(AM86,Довідник_мінералів!$A:$B,2,0),0)*AN86/100+IFERROR(VLOOKUP(AO86,Довідник_мінералів!$A:$B,2,0),0)*AP86/100,0)))</f>
        <v/>
      </c>
      <c r="AR86" s="53" t="n">
        <v>5</v>
      </c>
      <c r="AS86" s="53" t="inlineStr">
        <is>
          <t>не вказано (3b405)</t>
        </is>
      </c>
      <c r="AU86">
        <f>IF(AR86="","",IFERROR(VLOOKUP(AS86,Довідник_мінералів!$A:$B,2,0),"-"))</f>
        <v/>
      </c>
      <c r="AV86" s="53" t="n">
        <v>15</v>
      </c>
      <c r="AW86" s="53" t="inlineStr">
        <is>
          <t>не вказано (3b503)</t>
        </is>
      </c>
      <c r="AY86">
        <f>IF(AV86="","",IFERROR(VLOOKUP(AW86,Довідник_мінералів!$A:$B,2,0),"-"))</f>
        <v/>
      </c>
      <c r="AZ86" s="53" t="n">
        <v>0.2</v>
      </c>
      <c r="BA86" s="53" t="inlineStr">
        <is>
          <t>не вказано (3b801)</t>
        </is>
      </c>
      <c r="BB86">
        <f>IF(SE86="","",IFERROR(VLOOKUP(BA86,Довідник_мінералів!$A:$B,2,0),"-"))</f>
        <v/>
      </c>
      <c r="BC86" s="53" t="n">
        <v>1.5</v>
      </c>
      <c r="BD86" s="53" t="inlineStr">
        <is>
          <t>Ca 1.2%; P 0.9%; 10⁹ пробіотиків Enterococcus faecium; антарктичний криль; SYNOX 3D</t>
        </is>
      </c>
    </row>
    <row r="87" ht="40" customHeight="1">
      <c r="A87" s="46" t="inlineStr">
        <is>
          <t>grd_lamb_turkey_adult_medium_dog</t>
        </is>
      </c>
      <c r="B87" s="46" t="inlineStr">
        <is>
          <t>Grandorf</t>
        </is>
      </c>
      <c r="C87" s="46" t="inlineStr">
        <is>
          <t>Lamb &amp; Turkey Adult</t>
        </is>
      </c>
      <c r="D87" s="46" t="inlineStr">
        <is>
          <t>Lamb &amp; Turkey Medium-Maxi Adult (сухий)</t>
        </is>
      </c>
      <c r="E87" s="46" t="inlineStr">
        <is>
          <t>сухий</t>
        </is>
      </c>
      <c r="F87" s="46" t="inlineStr">
        <is>
          <t>собака</t>
        </is>
      </c>
      <c r="G87" s="46" t="inlineStr">
        <is>
          <t>дорослі середні та великі породи</t>
        </is>
      </c>
      <c r="H87" s="46" t="n"/>
      <c r="I87" s="46" t="inlineStr">
        <is>
          <t>https://grandorf.ua</t>
        </is>
      </c>
      <c r="J87" s="46" t="n">
        <v>30</v>
      </c>
      <c r="K87" s="46" t="n">
        <v>18</v>
      </c>
      <c r="L87" s="46" t="n">
        <v>2.5</v>
      </c>
      <c r="M87" s="46" t="n">
        <v>7</v>
      </c>
      <c r="N87" s="46" t="n">
        <v>6</v>
      </c>
      <c r="O87">
        <f>IF(J87="","",ROUND(J87/(1-N87/100),1))</f>
        <v/>
      </c>
      <c r="P87">
        <f>IF(K87="","",ROUND(K87/(1-N87/100),1))</f>
        <v/>
      </c>
      <c r="Q87">
        <f>IF(L87="","",ROUND(L87/(1-N87/100),1))</f>
        <v/>
      </c>
      <c r="R87">
        <f>IF(M87="","",ROUND(M87/(1-N87/100),1))</f>
        <v/>
      </c>
      <c r="S87" s="46" t="inlineStr">
        <is>
          <t>Дегідроване м'ясо ягняти, дегідроване м'ясо індички, цільнозерновий коричневий рис, батат, свіже м'ясо ягняти, жир індички, борошно плодів ріжкового дерева, порошок коренів цикорію (ФОС та інулін), рослинна клітковина, пивні дріжджі (МОС), лососева олія, антарктичний криль, журавлина, куркума, Юкка Шидігера</t>
        </is>
      </c>
      <c r="T87" s="46" t="inlineStr">
        <is>
          <t>дегідроване м'ясо ягняти</t>
        </is>
      </c>
      <c r="U87" s="46" t="inlineStr">
        <is>
          <t>дегідроване м'ясо індички</t>
        </is>
      </c>
      <c r="V87" s="46" t="inlineStr">
        <is>
          <t>батат</t>
        </is>
      </c>
      <c r="W87" s="46" t="n">
        <v>20000</v>
      </c>
      <c r="X87" s="46" t="n">
        <v>1500</v>
      </c>
      <c r="Y87" s="46" t="n">
        <v>600</v>
      </c>
      <c r="AF87" s="46" t="n">
        <v>100</v>
      </c>
      <c r="AG87" s="46" t="inlineStr">
        <is>
          <t>не вказано (3b605)</t>
        </is>
      </c>
      <c r="AK87">
        <f>IF(AF87="","",IF(AH87="",IFERROR(VLOOKUP(AG87,Довідник_мінералів!$A:$B,2,0),"-"),ROUND(IFERROR(VLOOKUP(AG87,Довідник_мінералів!$A:$B,2,0),0)*AH87/100+IFERROR(VLOOKUP(AI87,Довідник_мінералів!$A:$B,2,0),0)*AJ87/100,0)))</f>
        <v/>
      </c>
      <c r="AL87" s="46" t="n"/>
      <c r="AM87" s="46" t="inlineStr">
        <is>
          <t>не вказано (3b103)</t>
        </is>
      </c>
      <c r="AQ87">
        <f>IF(AL87="","",IF(AN87="",IFERROR(VLOOKUP(AM87,Довідник_мінералів!$A:$B,2,0),"-"),ROUND(IFERROR(VLOOKUP(AM87,Довідник_мінералів!$A:$B,2,0),0)*AN87/100+IFERROR(VLOOKUP(AO87,Довідник_мінералів!$A:$B,2,0),0)*AP87/100,0)))</f>
        <v/>
      </c>
      <c r="AR87" s="46" t="n">
        <v>5</v>
      </c>
      <c r="AS87" s="46" t="inlineStr">
        <is>
          <t>не вказано (3b405)</t>
        </is>
      </c>
      <c r="AU87">
        <f>IF(AR87="","",IFERROR(VLOOKUP(AS87,Довідник_мінералів!$A:$B,2,0),"-"))</f>
        <v/>
      </c>
      <c r="AV87" s="46" t="n">
        <v>15</v>
      </c>
      <c r="AW87" s="46" t="inlineStr">
        <is>
          <t>не вказано (3b503)</t>
        </is>
      </c>
      <c r="AY87">
        <f>IF(AV87="","",IFERROR(VLOOKUP(AW87,Довідник_мінералів!$A:$B,2,0),"-"))</f>
        <v/>
      </c>
      <c r="AZ87" s="46" t="n">
        <v>0.2</v>
      </c>
      <c r="BA87" s="46" t="inlineStr">
        <is>
          <t>не вказано (3b801)</t>
        </is>
      </c>
      <c r="BB87">
        <f>IF(SE87="","",IFERROR(VLOOKUP(BA87,Довідник_мінералів!$A:$B,2,0),"-"))</f>
        <v/>
      </c>
      <c r="BC87" s="46" t="n">
        <v>1.5</v>
      </c>
      <c r="BD87" s="46" t="inlineStr">
        <is>
          <t>Ca 1.2%; P 0.9%; Омега-3 0.5%; 10⁹ пробіотиків; глюкозамін+хондроїтин</t>
        </is>
      </c>
    </row>
    <row r="88" ht="40" customHeight="1">
      <c r="A88" s="53" t="inlineStr">
        <is>
          <t>grd_lamb_turkey_mini_dog</t>
        </is>
      </c>
      <c r="B88" s="53" t="inlineStr">
        <is>
          <t>Grandorf</t>
        </is>
      </c>
      <c r="C88" s="53" t="inlineStr">
        <is>
          <t>Lamb &amp; Turkey Mini</t>
        </is>
      </c>
      <c r="D88" s="53" t="inlineStr">
        <is>
          <t>Lamb &amp; Turkey Mini Adult (сухий)</t>
        </is>
      </c>
      <c r="E88" s="53" t="inlineStr">
        <is>
          <t>сухий</t>
        </is>
      </c>
      <c r="F88" s="53" t="inlineStr">
        <is>
          <t>собака</t>
        </is>
      </c>
      <c r="G88" s="53" t="inlineStr">
        <is>
          <t>дорослі малі породи до 10 кг</t>
        </is>
      </c>
      <c r="H88" s="53" t="n"/>
      <c r="I88" s="53" t="inlineStr">
        <is>
          <t>https://grandorf.ua</t>
        </is>
      </c>
      <c r="J88" s="53" t="n">
        <v>30</v>
      </c>
      <c r="K88" s="53" t="n">
        <v>18</v>
      </c>
      <c r="L88" s="53" t="n">
        <v>2.5</v>
      </c>
      <c r="M88" s="53" t="n">
        <v>7</v>
      </c>
      <c r="N88" s="53" t="n">
        <v>6</v>
      </c>
      <c r="O88">
        <f>IF(J88="","",ROUND(J88/(1-N88/100),1))</f>
        <v/>
      </c>
      <c r="P88">
        <f>IF(K88="","",ROUND(K88/(1-N88/100),1))</f>
        <v/>
      </c>
      <c r="Q88">
        <f>IF(L88="","",ROUND(L88/(1-N88/100),1))</f>
        <v/>
      </c>
      <c r="R88">
        <f>IF(M88="","",ROUND(M88/(1-N88/100),1))</f>
        <v/>
      </c>
      <c r="S88" s="53" t="inlineStr">
        <is>
          <t>Дегідроване м'ясо ягняти, дегідроване м'ясо індички, цільнозерновий коричневий рис, батат, свіже м'ясо ягняти, жир індички, борошно плодів ріжкового дерева, порошок коренів цикорію (ФОС та інулін), рослинна клітковина, пивні дріжджі (МОС), лососева олія, антарктичний криль, журавлина, куркума, Юкка Шидігера</t>
        </is>
      </c>
      <c r="T88" s="53" t="inlineStr">
        <is>
          <t>дегідроване м'ясо ягняти</t>
        </is>
      </c>
      <c r="U88" s="53" t="inlineStr">
        <is>
          <t>дегідроване м'ясо індички</t>
        </is>
      </c>
      <c r="V88" s="53" t="inlineStr">
        <is>
          <t>батат</t>
        </is>
      </c>
      <c r="W88" s="53" t="n">
        <v>20000</v>
      </c>
      <c r="X88" s="53" t="n">
        <v>1500</v>
      </c>
      <c r="Y88" s="53" t="n">
        <v>600</v>
      </c>
      <c r="AF88" s="53" t="n">
        <v>100</v>
      </c>
      <c r="AG88" s="53" t="inlineStr">
        <is>
          <t>не вказано (3b605)</t>
        </is>
      </c>
      <c r="AK88">
        <f>IF(AF88="","",IF(AH88="",IFERROR(VLOOKUP(AG88,Довідник_мінералів!$A:$B,2,0),"-"),ROUND(IFERROR(VLOOKUP(AG88,Довідник_мінералів!$A:$B,2,0),0)*AH88/100+IFERROR(VLOOKUP(AI88,Довідник_мінералів!$A:$B,2,0),0)*AJ88/100,0)))</f>
        <v/>
      </c>
      <c r="AL88" s="53" t="n"/>
      <c r="AM88" s="53" t="inlineStr">
        <is>
          <t>не вказано (3b103)</t>
        </is>
      </c>
      <c r="AQ88">
        <f>IF(AL88="","",IF(AN88="",IFERROR(VLOOKUP(AM88,Довідник_мінералів!$A:$B,2,0),"-"),ROUND(IFERROR(VLOOKUP(AM88,Довідник_мінералів!$A:$B,2,0),0)*AN88/100+IFERROR(VLOOKUP(AO88,Довідник_мінералів!$A:$B,2,0),0)*AP88/100,0)))</f>
        <v/>
      </c>
      <c r="AR88" s="53" t="n">
        <v>5</v>
      </c>
      <c r="AS88" s="53" t="inlineStr">
        <is>
          <t>не вказано (3b405)</t>
        </is>
      </c>
      <c r="AU88">
        <f>IF(AR88="","",IFERROR(VLOOKUP(AS88,Довідник_мінералів!$A:$B,2,0),"-"))</f>
        <v/>
      </c>
      <c r="AV88" s="53" t="n">
        <v>15</v>
      </c>
      <c r="AW88" s="53" t="inlineStr">
        <is>
          <t>не вказано (3b503)</t>
        </is>
      </c>
      <c r="AY88">
        <f>IF(AV88="","",IFERROR(VLOOKUP(AW88,Довідник_мінералів!$A:$B,2,0),"-"))</f>
        <v/>
      </c>
      <c r="AZ88" s="53" t="n">
        <v>0.2</v>
      </c>
      <c r="BA88" s="53" t="inlineStr">
        <is>
          <t>не вказано (3b801)</t>
        </is>
      </c>
      <c r="BB88">
        <f>IF(SE88="","",IFERROR(VLOOKUP(BA88,Довідник_мінералів!$A:$B,2,0),"-"))</f>
        <v/>
      </c>
      <c r="BC88" s="53" t="n">
        <v>1.5</v>
      </c>
      <c r="BD88" s="53" t="inlineStr">
        <is>
          <t>Дрібна гранула; той самий склад що Medium; 10⁹ пробіотиків</t>
        </is>
      </c>
    </row>
    <row r="89" ht="40" customHeight="1">
      <c r="A89" s="46" t="inlineStr">
        <is>
          <t>grd_fresh_duck_adult_dog</t>
        </is>
      </c>
      <c r="B89" s="46" t="inlineStr">
        <is>
          <t>Grandorf</t>
        </is>
      </c>
      <c r="C89" s="46" t="inlineStr">
        <is>
          <t>Fresh Dog</t>
        </is>
      </c>
      <c r="D89" s="46" t="inlineStr">
        <is>
          <t>Fresh Duck &amp; Sweet Potato Adult Mini (сухий)</t>
        </is>
      </c>
      <c r="E89" s="46" t="inlineStr">
        <is>
          <t>сухий</t>
        </is>
      </c>
      <c r="F89" s="46" t="inlineStr">
        <is>
          <t>собака</t>
        </is>
      </c>
      <c r="G89" s="46" t="inlineStr">
        <is>
          <t>дорослі малі породи беззерновий</t>
        </is>
      </c>
      <c r="H89" s="46" t="n">
        <v>3918</v>
      </c>
      <c r="I89" s="46" t="inlineStr">
        <is>
          <t>https://grandorf.ua</t>
        </is>
      </c>
      <c r="J89" s="46" t="n">
        <v>28</v>
      </c>
      <c r="K89" s="46" t="n">
        <v>18</v>
      </c>
      <c r="L89" s="46" t="n">
        <v>3</v>
      </c>
      <c r="M89" s="46" t="n">
        <v>7</v>
      </c>
      <c r="N89" s="46" t="n">
        <v>9</v>
      </c>
      <c r="O89">
        <f>IF(J89="","",ROUND(J89/(1-N89/100),1))</f>
        <v/>
      </c>
      <c r="P89">
        <f>IF(K89="","",ROUND(K89/(1-N89/100),1))</f>
        <v/>
      </c>
      <c r="Q89">
        <f>IF(L89="","",ROUND(L89/(1-N89/100),1))</f>
        <v/>
      </c>
      <c r="R89">
        <f>IF(M89="","",ROUND(M89/(1-N89/100),1))</f>
        <v/>
      </c>
      <c r="S89" s="46" t="inlineStr">
        <is>
          <t>Свіже філе лосося (26%), дегідратована індичка (19%), батат, горох, жир індички (6%), картопля, порошок коренів цикорію (ФОС та інулін), мінерали, насіння льону, яблука, морква, пивні дріжджі (МОС та бета-глюкани), лососева олія (0.5%), журавлина, чорниця, броколі, шпинат, помідори, глюкозамін (100 мг/кг), хондроїтин сульфат (100 мг/кг), юкка Шидігера, грейпфрут, розмарин, куркума</t>
        </is>
      </c>
      <c r="T89" s="46" t="inlineStr">
        <is>
          <t>свіже філе лосося (26%)</t>
        </is>
      </c>
      <c r="U89" s="46" t="inlineStr">
        <is>
          <t>дегідратована індичка (19%)</t>
        </is>
      </c>
      <c r="V89" s="46" t="inlineStr">
        <is>
          <t>батат</t>
        </is>
      </c>
      <c r="W89" s="46" t="n">
        <v>20000</v>
      </c>
      <c r="X89" s="46" t="n">
        <v>1500</v>
      </c>
      <c r="Y89" s="46" t="n">
        <v>600</v>
      </c>
      <c r="AF89" s="46" t="n">
        <v>100</v>
      </c>
      <c r="AG89" s="46" t="inlineStr">
        <is>
          <t>не вказано (3b605)</t>
        </is>
      </c>
      <c r="AK89">
        <f>IF(AF89="","",IF(AH89="",IFERROR(VLOOKUP(AG89,Довідник_мінералів!$A:$B,2,0),"-"),ROUND(IFERROR(VLOOKUP(AG89,Довідник_мінералів!$A:$B,2,0),0)*AH89/100+IFERROR(VLOOKUP(AI89,Довідник_мінералів!$A:$B,2,0),0)*AJ89/100,0)))</f>
        <v/>
      </c>
      <c r="AL89" s="46" t="n"/>
      <c r="AM89" s="46" t="inlineStr">
        <is>
          <t>не вказано (3b103)</t>
        </is>
      </c>
      <c r="AQ89">
        <f>IF(AL89="","",IF(AN89="",IFERROR(VLOOKUP(AM89,Довідник_мінералів!$A:$B,2,0),"-"),ROUND(IFERROR(VLOOKUP(AM89,Довідник_мінералів!$A:$B,2,0),0)*AN89/100+IFERROR(VLOOKUP(AO89,Довідник_мінералів!$A:$B,2,0),0)*AP89/100,0)))</f>
        <v/>
      </c>
      <c r="AR89" s="46" t="n">
        <v>5</v>
      </c>
      <c r="AS89" s="46" t="inlineStr">
        <is>
          <t>не вказано (3b405)</t>
        </is>
      </c>
      <c r="AU89">
        <f>IF(AR89="","",IFERROR(VLOOKUP(AS89,Довідник_мінералів!$A:$B,2,0),"-"))</f>
        <v/>
      </c>
      <c r="AV89" s="46" t="n">
        <v>15</v>
      </c>
      <c r="AW89" s="46" t="inlineStr">
        <is>
          <t>не вказано (3b503)</t>
        </is>
      </c>
      <c r="AY89">
        <f>IF(AV89="","",IFERROR(VLOOKUP(AW89,Довідник_мінералів!$A:$B,2,0),"-"))</f>
        <v/>
      </c>
      <c r="AZ89" s="46" t="n">
        <v>0.2</v>
      </c>
      <c r="BA89" s="46" t="inlineStr">
        <is>
          <t>не вказано (3b801)</t>
        </is>
      </c>
      <c r="BB89">
        <f>IF(SE89="","",IFERROR(VLOOKUP(BA89,Довідник_мінералів!$A:$B,2,0),"-"))</f>
        <v/>
      </c>
      <c r="BC89" s="46" t="n">
        <v>1.5</v>
      </c>
      <c r="BD89" s="46" t="inlineStr">
        <is>
          <t>Ca 1.2%; P 0.9%; Mg 0.08%; Омега-3 1.5%; Омега-6 3.0%; БЕЗЗЕРНОВИЙ; для малих порід</t>
        </is>
      </c>
    </row>
    <row r="90" ht="40" customHeight="1">
      <c r="A90" s="53" t="inlineStr">
        <is>
          <t>grd_wet_duck_turkey_dog</t>
        </is>
      </c>
      <c r="B90" s="53" t="inlineStr">
        <is>
          <t>Grandorf</t>
        </is>
      </c>
      <c r="C90" s="53" t="inlineStr">
        <is>
          <t>Wet Dog</t>
        </is>
      </c>
      <c r="D90" s="53" t="inlineStr">
        <is>
          <t>Duck &amp; Turkey (вологий 400г)</t>
        </is>
      </c>
      <c r="E90" s="53" t="inlineStr">
        <is>
          <t>вологий</t>
        </is>
      </c>
      <c r="F90" s="53" t="inlineStr">
        <is>
          <t>собака</t>
        </is>
      </c>
      <c r="G90" s="53" t="inlineStr">
        <is>
          <t>здоровий дорослий</t>
        </is>
      </c>
      <c r="H90" s="53" t="n">
        <v>1197</v>
      </c>
      <c r="I90" s="53" t="inlineStr">
        <is>
          <t>https://grandorf.ua</t>
        </is>
      </c>
      <c r="J90" s="53" t="n">
        <v>11</v>
      </c>
      <c r="K90" s="53" t="n">
        <v>7.6</v>
      </c>
      <c r="L90" s="53" t="n">
        <v>0.55</v>
      </c>
      <c r="M90" s="53" t="n">
        <v>3</v>
      </c>
      <c r="N90" s="53" t="n">
        <v>75</v>
      </c>
      <c r="O90">
        <f>IF(J90="","",ROUND(J90/(1-N90/100),1))</f>
        <v/>
      </c>
      <c r="P90">
        <f>IF(K90="","",ROUND(K90/(1-N90/100),1))</f>
        <v/>
      </c>
      <c r="Q90">
        <f>IF(L90="","",ROUND(L90/(1-N90/100),1))</f>
        <v/>
      </c>
      <c r="R90">
        <f>IF(M90="","",ROUND(M90/(1-N90/100),1))</f>
        <v/>
      </c>
      <c r="S90" s="53" t="inlineStr">
        <is>
          <t>Качка 35%, індичка 35%, солодка картопля 3.5%, мінерали, глюкозамін 0.1%</t>
        </is>
      </c>
      <c r="T90" s="53" t="inlineStr">
        <is>
          <t>качка (35%)</t>
        </is>
      </c>
      <c r="U90" s="53" t="inlineStr">
        <is>
          <t>індичка (35%)</t>
        </is>
      </c>
      <c r="V90" s="53" t="inlineStr">
        <is>
          <t>солодка картопля (3.5%)</t>
        </is>
      </c>
      <c r="W90" s="53" t="n"/>
      <c r="X90" s="53" t="n">
        <v>200</v>
      </c>
      <c r="Y90" s="53" t="n">
        <v>25</v>
      </c>
      <c r="AF90" s="53" t="n">
        <v>15</v>
      </c>
      <c r="AG90" s="53" t="inlineStr">
        <is>
          <t>не вказано (3b605)</t>
        </is>
      </c>
      <c r="AK90">
        <f>IF(AF90="","",IF(AH90="",IFERROR(VLOOKUP(AG90,Довідник_мінералів!$A:$B,2,0),"-"),ROUND(IFERROR(VLOOKUP(AG90,Довідник_мінералів!$A:$B,2,0),0)*AH90/100+IFERROR(VLOOKUP(AI90,Довідник_мінералів!$A:$B,2,0),0)*AJ90/100,0)))</f>
        <v/>
      </c>
      <c r="AL90" s="53" t="n"/>
      <c r="AM90" s="53" t="inlineStr">
        <is>
          <t>не вказано (3b103)</t>
        </is>
      </c>
      <c r="AQ90">
        <f>IF(AL90="","",IF(AN90="",IFERROR(VLOOKUP(AM90,Довідник_мінералів!$A:$B,2,0),"-"),ROUND(IFERROR(VLOOKUP(AM90,Довідник_мінералів!$A:$B,2,0),0)*AN90/100+IFERROR(VLOOKUP(AO90,Довідник_мінералів!$A:$B,2,0),0)*AP90/100,0)))</f>
        <v/>
      </c>
      <c r="AR90" s="53" t="n"/>
      <c r="AS90" s="53" t="inlineStr">
        <is>
          <t>не вказано (3b405)</t>
        </is>
      </c>
      <c r="AU90">
        <f>IF(AR90="","",IFERROR(VLOOKUP(AS90,Довідник_мінералів!$A:$B,2,0),"-"))</f>
        <v/>
      </c>
      <c r="AV90" s="53" t="n">
        <v>3</v>
      </c>
      <c r="AW90" s="53" t="inlineStr">
        <is>
          <t>не вказано (3b503)</t>
        </is>
      </c>
      <c r="AY90">
        <f>IF(AV90="","",IFERROR(VLOOKUP(AW90,Довідник_мінералів!$A:$B,2,0),"-"))</f>
        <v/>
      </c>
      <c r="AZ90" s="53" t="n"/>
      <c r="BA90" s="53" t="inlineStr">
        <is>
          <t>не вказано (3b801)</t>
        </is>
      </c>
      <c r="BB90">
        <f>IF(SE90="","",IFERROR(VLOOKUP(BA90,Довідник_мінералів!$A:$B,2,0),"-"))</f>
        <v/>
      </c>
      <c r="BC90" s="53" t="n">
        <v>0.5</v>
      </c>
      <c r="BD90" s="53" t="inlineStr">
        <is>
          <t>Ca 0.18%; P 0.12%; тільки 3 інгредієнти; без консервантів; мінімальний склад</t>
        </is>
      </c>
    </row>
    <row r="91" ht="40" customHeight="1">
      <c r="A91" s="46" t="inlineStr">
        <is>
          <t>grd_wet_beef_turkey_dog</t>
        </is>
      </c>
      <c r="B91" s="46" t="inlineStr">
        <is>
          <t>Grandorf</t>
        </is>
      </c>
      <c r="C91" s="46" t="inlineStr">
        <is>
          <t>Wet Dog</t>
        </is>
      </c>
      <c r="D91" s="46" t="inlineStr">
        <is>
          <t>Beef &amp; Turkey (вологий 400г)</t>
        </is>
      </c>
      <c r="E91" s="46" t="inlineStr">
        <is>
          <t>вологий</t>
        </is>
      </c>
      <c r="F91" s="46" t="inlineStr">
        <is>
          <t>собака</t>
        </is>
      </c>
      <c r="G91" s="46" t="inlineStr">
        <is>
          <t>здоровий дорослий</t>
        </is>
      </c>
      <c r="H91" s="46" t="n">
        <v>1037</v>
      </c>
      <c r="I91" s="46" t="inlineStr">
        <is>
          <t>https://grandorf.ua</t>
        </is>
      </c>
      <c r="J91" s="46" t="n">
        <v>11.8</v>
      </c>
      <c r="K91" s="46" t="n">
        <v>5.5</v>
      </c>
      <c r="L91" s="46" t="n">
        <v>0.3</v>
      </c>
      <c r="M91" s="46" t="n">
        <v>2.7</v>
      </c>
      <c r="N91" s="46" t="n">
        <v>77</v>
      </c>
      <c r="O91">
        <f>IF(J91="","",ROUND(J91/(1-N91/100),1))</f>
        <v/>
      </c>
      <c r="P91">
        <f>IF(K91="","",ROUND(K91/(1-N91/100),1))</f>
        <v/>
      </c>
      <c r="Q91">
        <f>IF(L91="","",ROUND(L91/(1-N91/100),1))</f>
        <v/>
      </c>
      <c r="R91">
        <f>IF(M91="","",ROUND(M91/(1-N91/100),1))</f>
        <v/>
      </c>
      <c r="S91" s="46" t="inlineStr">
        <is>
          <t>Яловичина 35%, індичка 35%, солодка картопля 3.5%, мінерали, глюкозамін 0.1%</t>
        </is>
      </c>
      <c r="T91" s="46" t="inlineStr">
        <is>
          <t>яловичина (35%)</t>
        </is>
      </c>
      <c r="U91" s="46" t="inlineStr">
        <is>
          <t>індичка (35%)</t>
        </is>
      </c>
      <c r="V91" s="46" t="inlineStr">
        <is>
          <t>солодка картопля (3.5%)</t>
        </is>
      </c>
      <c r="W91" s="46" t="n"/>
      <c r="X91" s="46" t="n">
        <v>200</v>
      </c>
      <c r="Y91" s="46" t="n">
        <v>25</v>
      </c>
      <c r="AF91" s="46" t="n">
        <v>15</v>
      </c>
      <c r="AG91" s="46" t="inlineStr">
        <is>
          <t>не вказано (3b605)</t>
        </is>
      </c>
      <c r="AK91">
        <f>IF(AF91="","",IF(AH91="",IFERROR(VLOOKUP(AG91,Довідник_мінералів!$A:$B,2,0),"-"),ROUND(IFERROR(VLOOKUP(AG91,Довідник_мінералів!$A:$B,2,0),0)*AH91/100+IFERROR(VLOOKUP(AI91,Довідник_мінералів!$A:$B,2,0),0)*AJ91/100,0)))</f>
        <v/>
      </c>
      <c r="AL91" s="46" t="n"/>
      <c r="AM91" s="46" t="inlineStr">
        <is>
          <t>не вказано (3b103)</t>
        </is>
      </c>
      <c r="AQ91">
        <f>IF(AL91="","",IF(AN91="",IFERROR(VLOOKUP(AM91,Довідник_мінералів!$A:$B,2,0),"-"),ROUND(IFERROR(VLOOKUP(AM91,Довідник_мінералів!$A:$B,2,0),0)*AN91/100+IFERROR(VLOOKUP(AO91,Довідник_мінералів!$A:$B,2,0),0)*AP91/100,0)))</f>
        <v/>
      </c>
      <c r="AR91" s="46" t="n"/>
      <c r="AS91" s="46" t="inlineStr">
        <is>
          <t>не вказано (3b405)</t>
        </is>
      </c>
      <c r="AU91">
        <f>IF(AR91="","",IFERROR(VLOOKUP(AS91,Довідник_мінералів!$A:$B,2,0),"-"))</f>
        <v/>
      </c>
      <c r="AV91" s="46" t="n">
        <v>3</v>
      </c>
      <c r="AW91" s="46" t="inlineStr">
        <is>
          <t>не вказано (3b503)</t>
        </is>
      </c>
      <c r="AY91">
        <f>IF(AV91="","",IFERROR(VLOOKUP(AW91,Довідник_мінералів!$A:$B,2,0),"-"))</f>
        <v/>
      </c>
      <c r="AZ91" s="46" t="n"/>
      <c r="BA91" s="46" t="inlineStr">
        <is>
          <t>не вказано (3b801)</t>
        </is>
      </c>
      <c r="BB91">
        <f>IF(SE91="","",IFERROR(VLOOKUP(BA91,Довідник_мінералів!$A:$B,2,0),"-"))</f>
        <v/>
      </c>
      <c r="BC91" s="46" t="n">
        <v>0.5</v>
      </c>
      <c r="BD91" s="46" t="inlineStr">
        <is>
          <t>Ca 0.19%; P 0.13%; тільки 3 інгредієнти; без консервантів; яловичина як новельний білок</t>
        </is>
      </c>
    </row>
    <row r="92">
      <c r="A92" s="9" t="n"/>
      <c r="B92" s="9" t="n"/>
      <c r="C92" s="9" t="n"/>
      <c r="D92" s="9" t="n"/>
      <c r="E92" s="9" t="n"/>
      <c r="F92" s="9" t="n"/>
      <c r="G92" s="9" t="n"/>
      <c r="H92" s="9" t="n"/>
      <c r="I92" s="9" t="n"/>
      <c r="O92">
        <f>IF(J92="","",ROUND(J92/(1-N92/100),1))</f>
        <v/>
      </c>
      <c r="P92">
        <f>IF(K92="","",ROUND(K92/(1-N92/100),1))</f>
        <v/>
      </c>
      <c r="Q92">
        <f>IF(L92="","",ROUND(L92/(1-N92/100),1))</f>
        <v/>
      </c>
      <c r="R92">
        <f>IF(M92="","",ROUND(M92/(1-N92/100),1))</f>
        <v/>
      </c>
      <c r="AK92">
        <f>IF(AF92="","",IF(AH92="",IFERROR(VLOOKUP(AG92,Довідник_мінералів!$A:$B,2,0),"-"),ROUND(IFERROR(VLOOKUP(AG92,Довідник_мінералів!$A:$B,2,0),0)*AH92/100+IFERROR(VLOOKUP(AI92,Довідник_мінералів!$A:$B,2,0),0)*AJ92/100,0)))</f>
        <v/>
      </c>
      <c r="AQ92">
        <f>IF(AL92="","",IF(AN92="",IFERROR(VLOOKUP(AM92,Довідник_мінералів!$A:$B,2,0),"-"),ROUND(IFERROR(VLOOKUP(AM92,Довідник_мінералів!$A:$B,2,0),0)*AN92/100+IFERROR(VLOOKUP(AO92,Довідник_мінералів!$A:$B,2,0),0)*AP92/100,0)))</f>
        <v/>
      </c>
      <c r="AU92">
        <f>IF(AR92="","",IFERROR(VLOOKUP(AS92,Довідник_мінералів!$A:$B,2,0),"-"))</f>
        <v/>
      </c>
      <c r="AY92">
        <f>IF(AV92="","",IFERROR(VLOOKUP(AW92,Довідник_мінералів!$A:$B,2,0),"-"))</f>
        <v/>
      </c>
      <c r="BB92">
        <f>IF(SE92="","",IFERROR(VLOOKUP(BA92,Довідник_мінералів!$A:$B,2,0),"-"))</f>
        <v/>
      </c>
    </row>
    <row r="93">
      <c r="O93">
        <f>IF(J93="","",ROUND(J93/(1-N93/100),1))</f>
        <v/>
      </c>
      <c r="P93">
        <f>IF(K93="","",ROUND(K93/(1-N93/100),1))</f>
        <v/>
      </c>
      <c r="Q93">
        <f>IF(L93="","",ROUND(L93/(1-N93/100),1))</f>
        <v/>
      </c>
      <c r="R93">
        <f>IF(M93="","",ROUND(M93/(1-N93/100),1))</f>
        <v/>
      </c>
      <c r="AK93">
        <f>IF(AF93="","",IF(AH93="",IFERROR(VLOOKUP(AG93,Довідник_мінералів!$A:$B,2,0),"-"),ROUND(IFERROR(VLOOKUP(AG93,Довідник_мінералів!$A:$B,2,0),0)*AH93/100+IFERROR(VLOOKUP(AI93,Довідник_мінералів!$A:$B,2,0),0)*AJ93/100,0)))</f>
        <v/>
      </c>
      <c r="AQ93">
        <f>IF(AL93="","",IF(AN93="",IFERROR(VLOOKUP(AM93,Довідник_мінералів!$A:$B,2,0),"-"),ROUND(IFERROR(VLOOKUP(AM93,Довідник_мінералів!$A:$B,2,0),0)*AN93/100+IFERROR(VLOOKUP(AO93,Довідник_мінералів!$A:$B,2,0),0)*AP93/100,0)))</f>
        <v/>
      </c>
      <c r="AU93">
        <f>IF(AR93="","",IFERROR(VLOOKUP(AS93,Довідник_мінералів!$A:$B,2,0),"-"))</f>
        <v/>
      </c>
      <c r="AY93">
        <f>IF(AV93="","",IFERROR(VLOOKUP(AW93,Довідник_мінералів!$A:$B,2,0),"-"))</f>
        <v/>
      </c>
      <c r="BB93">
        <f>IF(SE93="","",IFERROR(VLOOKUP(BA93,Довідник_мінералів!$A:$B,2,0),"-"))</f>
        <v/>
      </c>
    </row>
    <row r="94">
      <c r="A94" s="9" t="n"/>
      <c r="B94" s="9" t="n"/>
      <c r="C94" s="9" t="n"/>
      <c r="D94" s="9" t="n"/>
      <c r="E94" s="9" t="n"/>
      <c r="F94" s="9" t="n"/>
      <c r="G94" s="9" t="n"/>
      <c r="H94" s="9" t="n"/>
      <c r="I94" s="9" t="n"/>
      <c r="O94">
        <f>IF(J94="","",ROUND(J94/(1-N94/100),1))</f>
        <v/>
      </c>
      <c r="P94">
        <f>IF(K94="","",ROUND(K94/(1-N94/100),1))</f>
        <v/>
      </c>
      <c r="Q94">
        <f>IF(L94="","",ROUND(L94/(1-N94/100),1))</f>
        <v/>
      </c>
      <c r="R94">
        <f>IF(M94="","",ROUND(M94/(1-N94/100),1))</f>
        <v/>
      </c>
      <c r="AK94">
        <f>IF(AF94="","",IF(AH94="",IFERROR(VLOOKUP(AG94,Довідник_мінералів!$A:$B,2,0),"-"),ROUND(IFERROR(VLOOKUP(AG94,Довідник_мінералів!$A:$B,2,0),0)*AH94/100+IFERROR(VLOOKUP(AI94,Довідник_мінералів!$A:$B,2,0),0)*AJ94/100,0)))</f>
        <v/>
      </c>
      <c r="AQ94">
        <f>IF(AL94="","",IF(AN94="",IFERROR(VLOOKUP(AM94,Довідник_мінералів!$A:$B,2,0),"-"),ROUND(IFERROR(VLOOKUP(AM94,Довідник_мінералів!$A:$B,2,0),0)*AN94/100+IFERROR(VLOOKUP(AO94,Довідник_мінералів!$A:$B,2,0),0)*AP94/100,0)))</f>
        <v/>
      </c>
      <c r="AU94">
        <f>IF(AR94="","",IFERROR(VLOOKUP(AS94,Довідник_мінералів!$A:$B,2,0),"-"))</f>
        <v/>
      </c>
      <c r="AY94">
        <f>IF(AV94="","",IFERROR(VLOOKUP(AW94,Довідник_мінералів!$A:$B,2,0),"-"))</f>
        <v/>
      </c>
      <c r="BB94">
        <f>IF(SE94="","",IFERROR(VLOOKUP(BA94,Довідник_мінералів!$A:$B,2,0),"-"))</f>
        <v/>
      </c>
    </row>
    <row r="95">
      <c r="O95">
        <f>IF(J95="","",ROUND(J95/(1-N95/100),1))</f>
        <v/>
      </c>
      <c r="P95">
        <f>IF(K95="","",ROUND(K95/(1-N95/100),1))</f>
        <v/>
      </c>
      <c r="Q95">
        <f>IF(L95="","",ROUND(L95/(1-N95/100),1))</f>
        <v/>
      </c>
      <c r="R95">
        <f>IF(M95="","",ROUND(M95/(1-N95/100),1))</f>
        <v/>
      </c>
      <c r="AK95">
        <f>IF(AF95="","",IF(AH95="",IFERROR(VLOOKUP(AG95,Довідник_мінералів!$A:$B,2,0),"-"),ROUND(IFERROR(VLOOKUP(AG95,Довідник_мінералів!$A:$B,2,0),0)*AH95/100+IFERROR(VLOOKUP(AI95,Довідник_мінералів!$A:$B,2,0),0)*AJ95/100,0)))</f>
        <v/>
      </c>
      <c r="AQ95">
        <f>IF(AL95="","",IF(AN95="",IFERROR(VLOOKUP(AM95,Довідник_мінералів!$A:$B,2,0),"-"),ROUND(IFERROR(VLOOKUP(AM95,Довідник_мінералів!$A:$B,2,0),0)*AN95/100+IFERROR(VLOOKUP(AO95,Довідник_мінералів!$A:$B,2,0),0)*AP95/100,0)))</f>
        <v/>
      </c>
      <c r="AU95">
        <f>IF(AR95="","",IFERROR(VLOOKUP(AS95,Довідник_мінералів!$A:$B,2,0),"-"))</f>
        <v/>
      </c>
      <c r="AY95">
        <f>IF(AV95="","",IFERROR(VLOOKUP(AW95,Довідник_мінералів!$A:$B,2,0),"-"))</f>
        <v/>
      </c>
      <c r="BB95">
        <f>IF(SE95="","",IFERROR(VLOOKUP(BA95,Довідник_мінералів!$A:$B,2,0),"-"))</f>
        <v/>
      </c>
    </row>
    <row r="96">
      <c r="A96" s="9" t="n"/>
      <c r="B96" s="9" t="n"/>
      <c r="C96" s="9" t="n"/>
      <c r="D96" s="9" t="n"/>
      <c r="E96" s="9" t="n"/>
      <c r="F96" s="9" t="n"/>
      <c r="G96" s="9" t="n"/>
      <c r="H96" s="9" t="n"/>
      <c r="I96" s="9" t="n"/>
      <c r="O96">
        <f>IF(J96="","",ROUND(J96/(1-N96/100),1))</f>
        <v/>
      </c>
      <c r="P96">
        <f>IF(K96="","",ROUND(K96/(1-N96/100),1))</f>
        <v/>
      </c>
      <c r="Q96">
        <f>IF(L96="","",ROUND(L96/(1-N96/100),1))</f>
        <v/>
      </c>
      <c r="R96">
        <f>IF(M96="","",ROUND(M96/(1-N96/100),1))</f>
        <v/>
      </c>
      <c r="AK96">
        <f>IF(AF96="","",IF(AH96="",IFERROR(VLOOKUP(AG96,Довідник_мінералів!$A:$B,2,0),"-"),ROUND(IFERROR(VLOOKUP(AG96,Довідник_мінералів!$A:$B,2,0),0)*AH96/100+IFERROR(VLOOKUP(AI96,Довідник_мінералів!$A:$B,2,0),0)*AJ96/100,0)))</f>
        <v/>
      </c>
      <c r="AQ96">
        <f>IF(AL96="","",IF(AN96="",IFERROR(VLOOKUP(AM96,Довідник_мінералів!$A:$B,2,0),"-"),ROUND(IFERROR(VLOOKUP(AM96,Довідник_мінералів!$A:$B,2,0),0)*AN96/100+IFERROR(VLOOKUP(AO96,Довідник_мінералів!$A:$B,2,0),0)*AP96/100,0)))</f>
        <v/>
      </c>
      <c r="AU96">
        <f>IF(AR96="","",IFERROR(VLOOKUP(AS96,Довідник_мінералів!$A:$B,2,0),"-"))</f>
        <v/>
      </c>
      <c r="AY96">
        <f>IF(AV96="","",IFERROR(VLOOKUP(AW96,Довідник_мінералів!$A:$B,2,0),"-"))</f>
        <v/>
      </c>
      <c r="BB96">
        <f>IF(SE96="","",IFERROR(VLOOKUP(BA96,Довідник_мінералів!$A:$B,2,0),"-"))</f>
        <v/>
      </c>
    </row>
    <row r="97">
      <c r="O97">
        <f>IF(J97="","",ROUND(J97/(1-N97/100),1))</f>
        <v/>
      </c>
      <c r="P97">
        <f>IF(K97="","",ROUND(K97/(1-N97/100),1))</f>
        <v/>
      </c>
      <c r="Q97">
        <f>IF(L97="","",ROUND(L97/(1-N97/100),1))</f>
        <v/>
      </c>
      <c r="R97">
        <f>IF(M97="","",ROUND(M97/(1-N97/100),1))</f>
        <v/>
      </c>
      <c r="AK97">
        <f>IF(AF97="","",IF(AH97="",IFERROR(VLOOKUP(AG97,Довідник_мінералів!$A:$B,2,0),"-"),ROUND(IFERROR(VLOOKUP(AG97,Довідник_мінералів!$A:$B,2,0),0)*AH97/100+IFERROR(VLOOKUP(AI97,Довідник_мінералів!$A:$B,2,0),0)*AJ97/100,0)))</f>
        <v/>
      </c>
      <c r="AQ97">
        <f>IF(AL97="","",IF(AN97="",IFERROR(VLOOKUP(AM97,Довідник_мінералів!$A:$B,2,0),"-"),ROUND(IFERROR(VLOOKUP(AM97,Довідник_мінералів!$A:$B,2,0),0)*AN97/100+IFERROR(VLOOKUP(AO97,Довідник_мінералів!$A:$B,2,0),0)*AP97/100,0)))</f>
        <v/>
      </c>
      <c r="AU97">
        <f>IF(AR97="","",IFERROR(VLOOKUP(AS97,Довідник_мінералів!$A:$B,2,0),"-"))</f>
        <v/>
      </c>
      <c r="AY97">
        <f>IF(AV97="","",IFERROR(VLOOKUP(AW97,Довідник_мінералів!$A:$B,2,0),"-"))</f>
        <v/>
      </c>
      <c r="BB97">
        <f>IF(SE97="","",IFERROR(VLOOKUP(BA97,Довідник_мінералів!$A:$B,2,0),"-"))</f>
        <v/>
      </c>
    </row>
    <row r="98">
      <c r="A98" s="9" t="n"/>
      <c r="B98" s="9" t="n"/>
      <c r="C98" s="9" t="n"/>
      <c r="D98" s="9" t="n"/>
      <c r="E98" s="9" t="n"/>
      <c r="F98" s="9" t="n"/>
      <c r="G98" s="9" t="n"/>
      <c r="H98" s="9" t="n"/>
      <c r="I98" s="9" t="n"/>
      <c r="O98">
        <f>IF(J98="","",ROUND(J98/(1-N98/100),1))</f>
        <v/>
      </c>
      <c r="P98">
        <f>IF(K98="","",ROUND(K98/(1-N98/100),1))</f>
        <v/>
      </c>
      <c r="Q98">
        <f>IF(L98="","",ROUND(L98/(1-N98/100),1))</f>
        <v/>
      </c>
      <c r="R98">
        <f>IF(M98="","",ROUND(M98/(1-N98/100),1))</f>
        <v/>
      </c>
      <c r="AK98">
        <f>IF(AF98="","",IF(AH98="",IFERROR(VLOOKUP(AG98,Довідник_мінералів!$A:$B,2,0),"-"),ROUND(IFERROR(VLOOKUP(AG98,Довідник_мінералів!$A:$B,2,0),0)*AH98/100+IFERROR(VLOOKUP(AI98,Довідник_мінералів!$A:$B,2,0),0)*AJ98/100,0)))</f>
        <v/>
      </c>
      <c r="AQ98">
        <f>IF(AL98="","",IF(AN98="",IFERROR(VLOOKUP(AM98,Довідник_мінералів!$A:$B,2,0),"-"),ROUND(IFERROR(VLOOKUP(AM98,Довідник_мінералів!$A:$B,2,0),0)*AN98/100+IFERROR(VLOOKUP(AO98,Довідник_мінералів!$A:$B,2,0),0)*AP98/100,0)))</f>
        <v/>
      </c>
      <c r="AU98">
        <f>IF(AR98="","",IFERROR(VLOOKUP(AS98,Довідник_мінералів!$A:$B,2,0),"-"))</f>
        <v/>
      </c>
      <c r="AY98">
        <f>IF(AV98="","",IFERROR(VLOOKUP(AW98,Довідник_мінералів!$A:$B,2,0),"-"))</f>
        <v/>
      </c>
      <c r="BB98">
        <f>IF(SE98="","",IFERROR(VLOOKUP(BA98,Довідник_мінералів!$A:$B,2,0),"-"))</f>
        <v/>
      </c>
    </row>
    <row r="99">
      <c r="O99">
        <f>IF(J99="","",ROUND(J99/(1-N99/100),1))</f>
        <v/>
      </c>
      <c r="P99">
        <f>IF(K99="","",ROUND(K99/(1-N99/100),1))</f>
        <v/>
      </c>
      <c r="Q99">
        <f>IF(L99="","",ROUND(L99/(1-N99/100),1))</f>
        <v/>
      </c>
      <c r="R99">
        <f>IF(M99="","",ROUND(M99/(1-N99/100),1))</f>
        <v/>
      </c>
      <c r="AK99">
        <f>IF(AF99="","",IF(AH99="",IFERROR(VLOOKUP(AG99,Довідник_мінералів!$A:$B,2,0),"-"),ROUND(IFERROR(VLOOKUP(AG99,Довідник_мінералів!$A:$B,2,0),0)*AH99/100+IFERROR(VLOOKUP(AI99,Довідник_мінералів!$A:$B,2,0),0)*AJ99/100,0)))</f>
        <v/>
      </c>
      <c r="AQ99">
        <f>IF(AL99="","",IF(AN99="",IFERROR(VLOOKUP(AM99,Довідник_мінералів!$A:$B,2,0),"-"),ROUND(IFERROR(VLOOKUP(AM99,Довідник_мінералів!$A:$B,2,0),0)*AN99/100+IFERROR(VLOOKUP(AO99,Довідник_мінералів!$A:$B,2,0),0)*AP99/100,0)))</f>
        <v/>
      </c>
      <c r="AU99">
        <f>IF(AR99="","",IFERROR(VLOOKUP(AS99,Довідник_мінералів!$A:$B,2,0),"-"))</f>
        <v/>
      </c>
      <c r="AY99">
        <f>IF(AV99="","",IFERROR(VLOOKUP(AW99,Довідник_мінералів!$A:$B,2,0),"-"))</f>
        <v/>
      </c>
      <c r="BB99">
        <f>IF(SE99="","",IFERROR(VLOOKUP(BA99,Довідник_мінералів!$A:$B,2,0),"-"))</f>
        <v/>
      </c>
    </row>
    <row r="100">
      <c r="A100" s="9" t="n"/>
      <c r="B100" s="9" t="n"/>
      <c r="C100" s="9" t="n"/>
      <c r="D100" s="9" t="n"/>
      <c r="E100" s="9" t="n"/>
      <c r="F100" s="9" t="n"/>
      <c r="G100" s="9" t="n"/>
      <c r="H100" s="9" t="n"/>
      <c r="I100" s="9" t="n"/>
      <c r="O100">
        <f>IF(J100="","",ROUND(J100/(1-N100/100),1))</f>
        <v/>
      </c>
      <c r="P100">
        <f>IF(K100="","",ROUND(K100/(1-N100/100),1))</f>
        <v/>
      </c>
      <c r="Q100">
        <f>IF(L100="","",ROUND(L100/(1-N100/100),1))</f>
        <v/>
      </c>
      <c r="R100">
        <f>IF(M100="","",ROUND(M100/(1-N100/100),1))</f>
        <v/>
      </c>
      <c r="AK100">
        <f>IF(AF100="","",IF(AH100="",IFERROR(VLOOKUP(AG100,Довідник_мінералів!$A:$B,2,0),"-"),ROUND(IFERROR(VLOOKUP(AG100,Довідник_мінералів!$A:$B,2,0),0)*AH100/100+IFERROR(VLOOKUP(AI100,Довідник_мінералів!$A:$B,2,0),0)*AJ100/100,0)))</f>
        <v/>
      </c>
      <c r="AQ100">
        <f>IF(AL100="","",IF(AN100="",IFERROR(VLOOKUP(AM100,Довідник_мінералів!$A:$B,2,0),"-"),ROUND(IFERROR(VLOOKUP(AM100,Довідник_мінералів!$A:$B,2,0),0)*AN100/100+IFERROR(VLOOKUP(AO100,Довідник_мінералів!$A:$B,2,0),0)*AP100/100,0)))</f>
        <v/>
      </c>
      <c r="AU100">
        <f>IF(AR100="","",IFERROR(VLOOKUP(AS100,Довідник_мінералів!$A:$B,2,0),"-"))</f>
        <v/>
      </c>
      <c r="AY100">
        <f>IF(AV100="","",IFERROR(VLOOKUP(AW100,Довідник_мінералів!$A:$B,2,0),"-"))</f>
        <v/>
      </c>
      <c r="BB100">
        <f>IF(SE100="","",IFERROR(VLOOKUP(BA100,Довідник_мінералів!$A:$B,2,0),"-"))</f>
        <v/>
      </c>
    </row>
    <row r="101">
      <c r="O101">
        <f>IF(J101="","",ROUND(J101/(1-N101/100),1))</f>
        <v/>
      </c>
      <c r="P101">
        <f>IF(K101="","",ROUND(K101/(1-N101/100),1))</f>
        <v/>
      </c>
      <c r="Q101">
        <f>IF(L101="","",ROUND(L101/(1-N101/100),1))</f>
        <v/>
      </c>
      <c r="R101">
        <f>IF(M101="","",ROUND(M101/(1-N101/100),1))</f>
        <v/>
      </c>
      <c r="AK101">
        <f>IF(AF101="","",IF(AH101="",IFERROR(VLOOKUP(AG101,Довідник_мінералів!$A:$B,2,0),"-"),ROUND(IFERROR(VLOOKUP(AG101,Довідник_мінералів!$A:$B,2,0),0)*AH101/100+IFERROR(VLOOKUP(AI101,Довідник_мінералів!$A:$B,2,0),0)*AJ101/100,0)))</f>
        <v/>
      </c>
      <c r="AQ101">
        <f>IF(AL101="","",IF(AN101="",IFERROR(VLOOKUP(AM101,Довідник_мінералів!$A:$B,2,0),"-"),ROUND(IFERROR(VLOOKUP(AM101,Довідник_мінералів!$A:$B,2,0),0)*AN101/100+IFERROR(VLOOKUP(AO101,Довідник_мінералів!$A:$B,2,0),0)*AP101/100,0)))</f>
        <v/>
      </c>
      <c r="AU101">
        <f>IF(AR101="","",IFERROR(VLOOKUP(AS101,Довідник_мінералів!$A:$B,2,0),"-"))</f>
        <v/>
      </c>
      <c r="AY101">
        <f>IF(AV101="","",IFERROR(VLOOKUP(AW101,Довідник_мінералів!$A:$B,2,0),"-"))</f>
        <v/>
      </c>
      <c r="BB101">
        <f>IF(SE101="","",IFERROR(VLOOKUP(BA101,Довідник_мінералів!$A:$B,2,0),"-"))</f>
        <v/>
      </c>
    </row>
    <row r="102">
      <c r="A102" s="9" t="n"/>
      <c r="B102" s="9" t="n"/>
      <c r="C102" s="9" t="n"/>
      <c r="D102" s="9" t="n"/>
      <c r="E102" s="9" t="n"/>
      <c r="F102" s="9" t="n"/>
      <c r="G102" s="9" t="n"/>
      <c r="H102" s="9" t="n"/>
      <c r="I102" s="9" t="n"/>
      <c r="O102">
        <f>IF(J102="","",ROUND(J102/(1-N102/100),1))</f>
        <v/>
      </c>
      <c r="P102">
        <f>IF(K102="","",ROUND(K102/(1-N102/100),1))</f>
        <v/>
      </c>
      <c r="Q102">
        <f>IF(L102="","",ROUND(L102/(1-N102/100),1))</f>
        <v/>
      </c>
      <c r="R102">
        <f>IF(M102="","",ROUND(M102/(1-N102/100),1))</f>
        <v/>
      </c>
      <c r="AK102">
        <f>IF(AF102="","",IF(AH102="",IFERROR(VLOOKUP(AG102,Довідник_мінералів!$A:$B,2,0),"-"),ROUND(IFERROR(VLOOKUP(AG102,Довідник_мінералів!$A:$B,2,0),0)*AH102/100+IFERROR(VLOOKUP(AI102,Довідник_мінералів!$A:$B,2,0),0)*AJ102/100,0)))</f>
        <v/>
      </c>
      <c r="AQ102">
        <f>IF(AL102="","",IF(AN102="",IFERROR(VLOOKUP(AM102,Довідник_мінералів!$A:$B,2,0),"-"),ROUND(IFERROR(VLOOKUP(AM102,Довідник_мінералів!$A:$B,2,0),0)*AN102/100+IFERROR(VLOOKUP(AO102,Довідник_мінералів!$A:$B,2,0),0)*AP102/100,0)))</f>
        <v/>
      </c>
      <c r="AU102">
        <f>IF(AR102="","",IFERROR(VLOOKUP(AS102,Довідник_мінералів!$A:$B,2,0),"-"))</f>
        <v/>
      </c>
      <c r="AY102">
        <f>IF(AV102="","",IFERROR(VLOOKUP(AW102,Довідник_мінералів!$A:$B,2,0),"-"))</f>
        <v/>
      </c>
      <c r="BB102">
        <f>IF(SE102="","",IFERROR(VLOOKUP(BA102,Довідник_мінералів!$A:$B,2,0),"-"))</f>
        <v/>
      </c>
    </row>
    <row r="103">
      <c r="O103">
        <f>IF(J103="","",ROUND(J103/(1-N103/100),1))</f>
        <v/>
      </c>
      <c r="P103">
        <f>IF(K103="","",ROUND(K103/(1-N103/100),1))</f>
        <v/>
      </c>
      <c r="Q103">
        <f>IF(L103="","",ROUND(L103/(1-N103/100),1))</f>
        <v/>
      </c>
      <c r="R103">
        <f>IF(M103="","",ROUND(M103/(1-N103/100),1))</f>
        <v/>
      </c>
      <c r="AK103">
        <f>IF(AF103="","",IF(AH103="",IFERROR(VLOOKUP(AG103,Довідник_мінералів!$A:$B,2,0),"-"),ROUND(IFERROR(VLOOKUP(AG103,Довідник_мінералів!$A:$B,2,0),0)*AH103/100+IFERROR(VLOOKUP(AI103,Довідник_мінералів!$A:$B,2,0),0)*AJ103/100,0)))</f>
        <v/>
      </c>
      <c r="AQ103">
        <f>IF(AL103="","",IF(AN103="",IFERROR(VLOOKUP(AM103,Довідник_мінералів!$A:$B,2,0),"-"),ROUND(IFERROR(VLOOKUP(AM103,Довідник_мінералів!$A:$B,2,0),0)*AN103/100+IFERROR(VLOOKUP(AO103,Довідник_мінералів!$A:$B,2,0),0)*AP103/100,0)))</f>
        <v/>
      </c>
      <c r="AU103">
        <f>IF(AR103="","",IFERROR(VLOOKUP(AS103,Довідник_мінералів!$A:$B,2,0),"-"))</f>
        <v/>
      </c>
      <c r="AY103">
        <f>IF(AV103="","",IFERROR(VLOOKUP(AW103,Довідник_мінералів!$A:$B,2,0),"-"))</f>
        <v/>
      </c>
      <c r="BB103">
        <f>IF(SE103="","",IFERROR(VLOOKUP(BA103,Довідник_мінералів!$A:$B,2,0),"-"))</f>
        <v/>
      </c>
    </row>
    <row r="104">
      <c r="A104" s="9" t="n"/>
      <c r="B104" s="9" t="n"/>
      <c r="C104" s="9" t="n"/>
      <c r="D104" s="9" t="n"/>
      <c r="E104" s="9" t="n"/>
      <c r="F104" s="9" t="n"/>
      <c r="G104" s="9" t="n"/>
      <c r="H104" s="9" t="n"/>
      <c r="I104" s="9" t="n"/>
      <c r="O104">
        <f>IF(J104="","",ROUND(J104/(1-N104/100),1))</f>
        <v/>
      </c>
      <c r="P104">
        <f>IF(K104="","",ROUND(K104/(1-N104/100),1))</f>
        <v/>
      </c>
      <c r="Q104">
        <f>IF(L104="","",ROUND(L104/(1-N104/100),1))</f>
        <v/>
      </c>
      <c r="R104">
        <f>IF(M104="","",ROUND(M104/(1-N104/100),1))</f>
        <v/>
      </c>
      <c r="AK104">
        <f>IF(AF104="","",IF(AH104="",IFERROR(VLOOKUP(AG104,Довідник_мінералів!$A:$B,2,0),"-"),ROUND(IFERROR(VLOOKUP(AG104,Довідник_мінералів!$A:$B,2,0),0)*AH104/100+IFERROR(VLOOKUP(AI104,Довідник_мінералів!$A:$B,2,0),0)*AJ104/100,0)))</f>
        <v/>
      </c>
      <c r="AQ104">
        <f>IF(AL104="","",IF(AN104="",IFERROR(VLOOKUP(AM104,Довідник_мінералів!$A:$B,2,0),"-"),ROUND(IFERROR(VLOOKUP(AM104,Довідник_мінералів!$A:$B,2,0),0)*AN104/100+IFERROR(VLOOKUP(AO104,Довідник_мінералів!$A:$B,2,0),0)*AP104/100,0)))</f>
        <v/>
      </c>
      <c r="AU104">
        <f>IF(AR104="","",IFERROR(VLOOKUP(AS104,Довідник_мінералів!$A:$B,2,0),"-"))</f>
        <v/>
      </c>
      <c r="AY104">
        <f>IF(AV104="","",IFERROR(VLOOKUP(AW104,Довідник_мінералів!$A:$B,2,0),"-"))</f>
        <v/>
      </c>
      <c r="BB104">
        <f>IF(SE104="","",IFERROR(VLOOKUP(BA104,Довідник_мінералів!$A:$B,2,0),"-"))</f>
        <v/>
      </c>
    </row>
    <row r="105">
      <c r="O105">
        <f>IF(J105="","",ROUND(J105/(1-N105/100),1))</f>
        <v/>
      </c>
      <c r="P105">
        <f>IF(K105="","",ROUND(K105/(1-N105/100),1))</f>
        <v/>
      </c>
      <c r="Q105">
        <f>IF(L105="","",ROUND(L105/(1-N105/100),1))</f>
        <v/>
      </c>
      <c r="R105">
        <f>IF(M105="","",ROUND(M105/(1-N105/100),1))</f>
        <v/>
      </c>
      <c r="AK105">
        <f>IF(AF105="","",IF(AH105="",IFERROR(VLOOKUP(AG105,Довідник_мінералів!$A:$B,2,0),"-"),ROUND(IFERROR(VLOOKUP(AG105,Довідник_мінералів!$A:$B,2,0),0)*AH105/100+IFERROR(VLOOKUP(AI105,Довідник_мінералів!$A:$B,2,0),0)*AJ105/100,0)))</f>
        <v/>
      </c>
      <c r="AQ105">
        <f>IF(AL105="","",IF(AN105="",IFERROR(VLOOKUP(AM105,Довідник_мінералів!$A:$B,2,0),"-"),ROUND(IFERROR(VLOOKUP(AM105,Довідник_мінералів!$A:$B,2,0),0)*AN105/100+IFERROR(VLOOKUP(AO105,Довідник_мінералів!$A:$B,2,0),0)*AP105/100,0)))</f>
        <v/>
      </c>
      <c r="AU105">
        <f>IF(AR105="","",IFERROR(VLOOKUP(AS105,Довідник_мінералів!$A:$B,2,0),"-"))</f>
        <v/>
      </c>
      <c r="AY105">
        <f>IF(AV105="","",IFERROR(VLOOKUP(AW105,Довідник_мінералів!$A:$B,2,0),"-"))</f>
        <v/>
      </c>
      <c r="BB105">
        <f>IF(SE105="","",IFERROR(VLOOKUP(BA105,Довідник_мінералів!$A:$B,2,0),"-"))</f>
        <v/>
      </c>
    </row>
    <row r="106">
      <c r="A106" s="9" t="n"/>
      <c r="B106" s="9" t="n"/>
      <c r="C106" s="9" t="n"/>
      <c r="D106" s="9" t="n"/>
      <c r="E106" s="9" t="n"/>
      <c r="F106" s="9" t="n"/>
      <c r="G106" s="9" t="n"/>
      <c r="H106" s="9" t="n"/>
      <c r="I106" s="9" t="n"/>
      <c r="O106">
        <f>IF(J106="","",ROUND(J106/(1-N106/100),1))</f>
        <v/>
      </c>
      <c r="P106">
        <f>IF(K106="","",ROUND(K106/(1-N106/100),1))</f>
        <v/>
      </c>
      <c r="Q106">
        <f>IF(L106="","",ROUND(L106/(1-N106/100),1))</f>
        <v/>
      </c>
      <c r="R106">
        <f>IF(M106="","",ROUND(M106/(1-N106/100),1))</f>
        <v/>
      </c>
      <c r="AK106">
        <f>IF(AF106="","",IF(AH106="",IFERROR(VLOOKUP(AG106,Довідник_мінералів!$A:$B,2,0),"-"),ROUND(IFERROR(VLOOKUP(AG106,Довідник_мінералів!$A:$B,2,0),0)*AH106/100+IFERROR(VLOOKUP(AI106,Довідник_мінералів!$A:$B,2,0),0)*AJ106/100,0)))</f>
        <v/>
      </c>
      <c r="AQ106">
        <f>IF(AL106="","",IF(AN106="",IFERROR(VLOOKUP(AM106,Довідник_мінералів!$A:$B,2,0),"-"),ROUND(IFERROR(VLOOKUP(AM106,Довідник_мінералів!$A:$B,2,0),0)*AN106/100+IFERROR(VLOOKUP(AO106,Довідник_мінералів!$A:$B,2,0),0)*AP106/100,0)))</f>
        <v/>
      </c>
      <c r="AU106">
        <f>IF(AR106="","",IFERROR(VLOOKUP(AS106,Довідник_мінералів!$A:$B,2,0),"-"))</f>
        <v/>
      </c>
      <c r="AY106">
        <f>IF(AV106="","",IFERROR(VLOOKUP(AW106,Довідник_мінералів!$A:$B,2,0),"-"))</f>
        <v/>
      </c>
      <c r="BB106">
        <f>IF(SE106="","",IFERROR(VLOOKUP(BA106,Довідник_мінералів!$A:$B,2,0),"-"))</f>
        <v/>
      </c>
    </row>
    <row r="107">
      <c r="O107">
        <f>IF(J107="","",ROUND(J107/(1-N107/100),1))</f>
        <v/>
      </c>
      <c r="P107">
        <f>IF(K107="","",ROUND(K107/(1-N107/100),1))</f>
        <v/>
      </c>
      <c r="Q107">
        <f>IF(L107="","",ROUND(L107/(1-N107/100),1))</f>
        <v/>
      </c>
      <c r="R107">
        <f>IF(M107="","",ROUND(M107/(1-N107/100),1))</f>
        <v/>
      </c>
      <c r="AK107">
        <f>IF(AF107="","",IF(AH107="",IFERROR(VLOOKUP(AG107,Довідник_мінералів!$A:$B,2,0),"-"),ROUND(IFERROR(VLOOKUP(AG107,Довідник_мінералів!$A:$B,2,0),0)*AH107/100+IFERROR(VLOOKUP(AI107,Довідник_мінералів!$A:$B,2,0),0)*AJ107/100,0)))</f>
        <v/>
      </c>
      <c r="AQ107">
        <f>IF(AL107="","",IF(AN107="",IFERROR(VLOOKUP(AM107,Довідник_мінералів!$A:$B,2,0),"-"),ROUND(IFERROR(VLOOKUP(AM107,Довідник_мінералів!$A:$B,2,0),0)*AN107/100+IFERROR(VLOOKUP(AO107,Довідник_мінералів!$A:$B,2,0),0)*AP107/100,0)))</f>
        <v/>
      </c>
      <c r="AU107">
        <f>IF(AR107="","",IFERROR(VLOOKUP(AS107,Довідник_мінералів!$A:$B,2,0),"-"))</f>
        <v/>
      </c>
      <c r="AY107">
        <f>IF(AV107="","",IFERROR(VLOOKUP(AW107,Довідник_мінералів!$A:$B,2,0),"-"))</f>
        <v/>
      </c>
      <c r="BB107">
        <f>IF(SE107="","",IFERROR(VLOOKUP(BA107,Довідник_мінералів!$A:$B,2,0),"-"))</f>
        <v/>
      </c>
    </row>
    <row r="108">
      <c r="A108" s="9" t="n"/>
      <c r="B108" s="9" t="n"/>
      <c r="C108" s="9" t="n"/>
      <c r="D108" s="9" t="n"/>
      <c r="E108" s="9" t="n"/>
      <c r="F108" s="9" t="n"/>
      <c r="G108" s="9" t="n"/>
      <c r="H108" s="9" t="n"/>
      <c r="I108" s="9" t="n"/>
      <c r="O108">
        <f>IF(J108="","",ROUND(J108/(1-N108/100),1))</f>
        <v/>
      </c>
      <c r="P108">
        <f>IF(K108="","",ROUND(K108/(1-N108/100),1))</f>
        <v/>
      </c>
      <c r="Q108">
        <f>IF(L108="","",ROUND(L108/(1-N108/100),1))</f>
        <v/>
      </c>
      <c r="R108">
        <f>IF(M108="","",ROUND(M108/(1-N108/100),1))</f>
        <v/>
      </c>
      <c r="AK108">
        <f>IF(AF108="","",IF(AH108="",IFERROR(VLOOKUP(AG108,Довідник_мінералів!$A:$B,2,0),"-"),ROUND(IFERROR(VLOOKUP(AG108,Довідник_мінералів!$A:$B,2,0),0)*AH108/100+IFERROR(VLOOKUP(AI108,Довідник_мінералів!$A:$B,2,0),0)*AJ108/100,0)))</f>
        <v/>
      </c>
      <c r="AQ108">
        <f>IF(AL108="","",IF(AN108="",IFERROR(VLOOKUP(AM108,Довідник_мінералів!$A:$B,2,0),"-"),ROUND(IFERROR(VLOOKUP(AM108,Довідник_мінералів!$A:$B,2,0),0)*AN108/100+IFERROR(VLOOKUP(AO108,Довідник_мінералів!$A:$B,2,0),0)*AP108/100,0)))</f>
        <v/>
      </c>
      <c r="AU108">
        <f>IF(AR108="","",IFERROR(VLOOKUP(AS108,Довідник_мінералів!$A:$B,2,0),"-"))</f>
        <v/>
      </c>
      <c r="AY108">
        <f>IF(AV108="","",IFERROR(VLOOKUP(AW108,Довідник_мінералів!$A:$B,2,0),"-"))</f>
        <v/>
      </c>
      <c r="BB108">
        <f>IF(SE108="","",IFERROR(VLOOKUP(BA108,Довідник_мінералів!$A:$B,2,0),"-"))</f>
        <v/>
      </c>
    </row>
    <row r="109">
      <c r="O109">
        <f>IF(J109="","",ROUND(J109/(1-N109/100),1))</f>
        <v/>
      </c>
      <c r="P109">
        <f>IF(K109="","",ROUND(K109/(1-N109/100),1))</f>
        <v/>
      </c>
      <c r="Q109">
        <f>IF(L109="","",ROUND(L109/(1-N109/100),1))</f>
        <v/>
      </c>
      <c r="R109">
        <f>IF(M109="","",ROUND(M109/(1-N109/100),1))</f>
        <v/>
      </c>
      <c r="AK109">
        <f>IF(AF109="","",IF(AH109="",IFERROR(VLOOKUP(AG109,Довідник_мінералів!$A:$B,2,0),"-"),ROUND(IFERROR(VLOOKUP(AG109,Довідник_мінералів!$A:$B,2,0),0)*AH109/100+IFERROR(VLOOKUP(AI109,Довідник_мінералів!$A:$B,2,0),0)*AJ109/100,0)))</f>
        <v/>
      </c>
      <c r="AQ109">
        <f>IF(AL109="","",IF(AN109="",IFERROR(VLOOKUP(AM109,Довідник_мінералів!$A:$B,2,0),"-"),ROUND(IFERROR(VLOOKUP(AM109,Довідник_мінералів!$A:$B,2,0),0)*AN109/100+IFERROR(VLOOKUP(AO109,Довідник_мінералів!$A:$B,2,0),0)*AP109/100,0)))</f>
        <v/>
      </c>
      <c r="AU109">
        <f>IF(AR109="","",IFERROR(VLOOKUP(AS109,Довідник_мінералів!$A:$B,2,0),"-"))</f>
        <v/>
      </c>
      <c r="AY109">
        <f>IF(AV109="","",IFERROR(VLOOKUP(AW109,Довідник_мінералів!$A:$B,2,0),"-"))</f>
        <v/>
      </c>
      <c r="BB109">
        <f>IF(SE109="","",IFERROR(VLOOKUP(BA109,Довідник_мінералів!$A:$B,2,0),"-"))</f>
        <v/>
      </c>
    </row>
    <row r="110">
      <c r="A110" s="9" t="n"/>
      <c r="B110" s="9" t="n"/>
      <c r="C110" s="9" t="n"/>
      <c r="D110" s="9" t="n"/>
      <c r="E110" s="9" t="n"/>
      <c r="F110" s="9" t="n"/>
      <c r="G110" s="9" t="n"/>
      <c r="H110" s="9" t="n"/>
      <c r="I110" s="9" t="n"/>
      <c r="O110">
        <f>IF(J110="","",ROUND(J110/(1-N110/100),1))</f>
        <v/>
      </c>
      <c r="P110">
        <f>IF(K110="","",ROUND(K110/(1-N110/100),1))</f>
        <v/>
      </c>
      <c r="Q110">
        <f>IF(L110="","",ROUND(L110/(1-N110/100),1))</f>
        <v/>
      </c>
      <c r="R110">
        <f>IF(M110="","",ROUND(M110/(1-N110/100),1))</f>
        <v/>
      </c>
      <c r="AK110">
        <f>IF(AF110="","",IF(AH110="",IFERROR(VLOOKUP(AG110,Довідник_мінералів!$A:$B,2,0),"-"),ROUND(IFERROR(VLOOKUP(AG110,Довідник_мінералів!$A:$B,2,0),0)*AH110/100+IFERROR(VLOOKUP(AI110,Довідник_мінералів!$A:$B,2,0),0)*AJ110/100,0)))</f>
        <v/>
      </c>
      <c r="AQ110">
        <f>IF(AL110="","",IF(AN110="",IFERROR(VLOOKUP(AM110,Довідник_мінералів!$A:$B,2,0),"-"),ROUND(IFERROR(VLOOKUP(AM110,Довідник_мінералів!$A:$B,2,0),0)*AN110/100+IFERROR(VLOOKUP(AO110,Довідник_мінералів!$A:$B,2,0),0)*AP110/100,0)))</f>
        <v/>
      </c>
      <c r="AU110">
        <f>IF(AR110="","",IFERROR(VLOOKUP(AS110,Довідник_мінералів!$A:$B,2,0),"-"))</f>
        <v/>
      </c>
      <c r="AY110">
        <f>IF(AV110="","",IFERROR(VLOOKUP(AW110,Довідник_мінералів!$A:$B,2,0),"-"))</f>
        <v/>
      </c>
      <c r="BB110">
        <f>IF(SE110="","",IFERROR(VLOOKUP(BA110,Довідник_мінералів!$A:$B,2,0),"-"))</f>
        <v/>
      </c>
    </row>
    <row r="111">
      <c r="O111">
        <f>IF(J111="","",ROUND(J111/(1-N111/100),1))</f>
        <v/>
      </c>
      <c r="P111">
        <f>IF(K111="","",ROUND(K111/(1-N111/100),1))</f>
        <v/>
      </c>
      <c r="Q111">
        <f>IF(L111="","",ROUND(L111/(1-N111/100),1))</f>
        <v/>
      </c>
      <c r="R111">
        <f>IF(M111="","",ROUND(M111/(1-N111/100),1))</f>
        <v/>
      </c>
      <c r="AK111">
        <f>IF(AF111="","",IF(AH111="",IFERROR(VLOOKUP(AG111,Довідник_мінералів!$A:$B,2,0),"-"),ROUND(IFERROR(VLOOKUP(AG111,Довідник_мінералів!$A:$B,2,0),0)*AH111/100+IFERROR(VLOOKUP(AI111,Довідник_мінералів!$A:$B,2,0),0)*AJ111/100,0)))</f>
        <v/>
      </c>
      <c r="AQ111">
        <f>IF(AL111="","",IF(AN111="",IFERROR(VLOOKUP(AM111,Довідник_мінералів!$A:$B,2,0),"-"),ROUND(IFERROR(VLOOKUP(AM111,Довідник_мінералів!$A:$B,2,0),0)*AN111/100+IFERROR(VLOOKUP(AO111,Довідник_мінералів!$A:$B,2,0),0)*AP111/100,0)))</f>
        <v/>
      </c>
      <c r="AU111">
        <f>IF(AR111="","",IFERROR(VLOOKUP(AS111,Довідник_мінералів!$A:$B,2,0),"-"))</f>
        <v/>
      </c>
      <c r="AY111">
        <f>IF(AV111="","",IFERROR(VLOOKUP(AW111,Довідник_мінералів!$A:$B,2,0),"-"))</f>
        <v/>
      </c>
      <c r="BB111">
        <f>IF(SE111="","",IFERROR(VLOOKUP(BA111,Довідник_мінералів!$A:$B,2,0),"-"))</f>
        <v/>
      </c>
    </row>
    <row r="112">
      <c r="A112" s="9" t="n"/>
      <c r="B112" s="9" t="n"/>
      <c r="C112" s="9" t="n"/>
      <c r="D112" s="9" t="n"/>
      <c r="E112" s="9" t="n"/>
      <c r="F112" s="9" t="n"/>
      <c r="G112" s="9" t="n"/>
      <c r="H112" s="9" t="n"/>
      <c r="I112" s="9" t="n"/>
      <c r="O112">
        <f>IF(J112="","",ROUND(J112/(1-N112/100),1))</f>
        <v/>
      </c>
      <c r="P112">
        <f>IF(K112="","",ROUND(K112/(1-N112/100),1))</f>
        <v/>
      </c>
      <c r="Q112">
        <f>IF(L112="","",ROUND(L112/(1-N112/100),1))</f>
        <v/>
      </c>
      <c r="R112">
        <f>IF(M112="","",ROUND(M112/(1-N112/100),1))</f>
        <v/>
      </c>
      <c r="AK112">
        <f>IF(AF112="","",IF(AH112="",IFERROR(VLOOKUP(AG112,Довідник_мінералів!$A:$B,2,0),"-"),ROUND(IFERROR(VLOOKUP(AG112,Довідник_мінералів!$A:$B,2,0),0)*AH112/100+IFERROR(VLOOKUP(AI112,Довідник_мінералів!$A:$B,2,0),0)*AJ112/100,0)))</f>
        <v/>
      </c>
      <c r="AQ112">
        <f>IF(AL112="","",IF(AN112="",IFERROR(VLOOKUP(AM112,Довідник_мінералів!$A:$B,2,0),"-"),ROUND(IFERROR(VLOOKUP(AM112,Довідник_мінералів!$A:$B,2,0),0)*AN112/100+IFERROR(VLOOKUP(AO112,Довідник_мінералів!$A:$B,2,0),0)*AP112/100,0)))</f>
        <v/>
      </c>
      <c r="AU112">
        <f>IF(AR112="","",IFERROR(VLOOKUP(AS112,Довідник_мінералів!$A:$B,2,0),"-"))</f>
        <v/>
      </c>
      <c r="AY112">
        <f>IF(AV112="","",IFERROR(VLOOKUP(AW112,Довідник_мінералів!$A:$B,2,0),"-"))</f>
        <v/>
      </c>
      <c r="BB112">
        <f>IF(SE112="","",IFERROR(VLOOKUP(BA112,Довідник_мінералів!$A:$B,2,0),"-"))</f>
        <v/>
      </c>
    </row>
    <row r="113">
      <c r="O113">
        <f>IF(J113="","",ROUND(J113/(1-N113/100),1))</f>
        <v/>
      </c>
      <c r="P113">
        <f>IF(K113="","",ROUND(K113/(1-N113/100),1))</f>
        <v/>
      </c>
      <c r="Q113">
        <f>IF(L113="","",ROUND(L113/(1-N113/100),1))</f>
        <v/>
      </c>
      <c r="R113">
        <f>IF(M113="","",ROUND(M113/(1-N113/100),1))</f>
        <v/>
      </c>
      <c r="AK113">
        <f>IF(AF113="","",IF(AH113="",IFERROR(VLOOKUP(AG113,Довідник_мінералів!$A:$B,2,0),"-"),ROUND(IFERROR(VLOOKUP(AG113,Довідник_мінералів!$A:$B,2,0),0)*AH113/100+IFERROR(VLOOKUP(AI113,Довідник_мінералів!$A:$B,2,0),0)*AJ113/100,0)))</f>
        <v/>
      </c>
      <c r="AQ113">
        <f>IF(AL113="","",IF(AN113="",IFERROR(VLOOKUP(AM113,Довідник_мінералів!$A:$B,2,0),"-"),ROUND(IFERROR(VLOOKUP(AM113,Довідник_мінералів!$A:$B,2,0),0)*AN113/100+IFERROR(VLOOKUP(AO113,Довідник_мінералів!$A:$B,2,0),0)*AP113/100,0)))</f>
        <v/>
      </c>
      <c r="AU113">
        <f>IF(AR113="","",IFERROR(VLOOKUP(AS113,Довідник_мінералів!$A:$B,2,0),"-"))</f>
        <v/>
      </c>
      <c r="AY113">
        <f>IF(AV113="","",IFERROR(VLOOKUP(AW113,Довідник_мінералів!$A:$B,2,0),"-"))</f>
        <v/>
      </c>
      <c r="BB113">
        <f>IF(SE113="","",IFERROR(VLOOKUP(BA113,Довідник_мінералів!$A:$B,2,0),"-"))</f>
        <v/>
      </c>
    </row>
    <row r="114">
      <c r="A114" s="9" t="n"/>
      <c r="B114" s="9" t="n"/>
      <c r="C114" s="9" t="n"/>
      <c r="D114" s="9" t="n"/>
      <c r="E114" s="9" t="n"/>
      <c r="F114" s="9" t="n"/>
      <c r="G114" s="9" t="n"/>
      <c r="H114" s="9" t="n"/>
      <c r="I114" s="9" t="n"/>
      <c r="O114">
        <f>IF(J114="","",ROUND(J114/(1-N114/100),1))</f>
        <v/>
      </c>
      <c r="P114">
        <f>IF(K114="","",ROUND(K114/(1-N114/100),1))</f>
        <v/>
      </c>
      <c r="Q114">
        <f>IF(L114="","",ROUND(L114/(1-N114/100),1))</f>
        <v/>
      </c>
      <c r="R114">
        <f>IF(M114="","",ROUND(M114/(1-N114/100),1))</f>
        <v/>
      </c>
      <c r="AK114">
        <f>IF(AF114="","",IF(AH114="",IFERROR(VLOOKUP(AG114,Довідник_мінералів!$A:$B,2,0),"-"),ROUND(IFERROR(VLOOKUP(AG114,Довідник_мінералів!$A:$B,2,0),0)*AH114/100+IFERROR(VLOOKUP(AI114,Довідник_мінералів!$A:$B,2,0),0)*AJ114/100,0)))</f>
        <v/>
      </c>
      <c r="AQ114">
        <f>IF(AL114="","",IF(AN114="",IFERROR(VLOOKUP(AM114,Довідник_мінералів!$A:$B,2,0),"-"),ROUND(IFERROR(VLOOKUP(AM114,Довідник_мінералів!$A:$B,2,0),0)*AN114/100+IFERROR(VLOOKUP(AO114,Довідник_мінералів!$A:$B,2,0),0)*AP114/100,0)))</f>
        <v/>
      </c>
      <c r="AU114">
        <f>IF(AR114="","",IFERROR(VLOOKUP(AS114,Довідник_мінералів!$A:$B,2,0),"-"))</f>
        <v/>
      </c>
      <c r="AY114">
        <f>IF(AV114="","",IFERROR(VLOOKUP(AW114,Довідник_мінералів!$A:$B,2,0),"-"))</f>
        <v/>
      </c>
      <c r="BB114">
        <f>IF(SE114="","",IFERROR(VLOOKUP(BA114,Довідник_мінералів!$A:$B,2,0),"-"))</f>
        <v/>
      </c>
    </row>
    <row r="115">
      <c r="O115">
        <f>IF(J115="","",ROUND(J115/(1-N115/100),1))</f>
        <v/>
      </c>
      <c r="P115">
        <f>IF(K115="","",ROUND(K115/(1-N115/100),1))</f>
        <v/>
      </c>
      <c r="Q115">
        <f>IF(L115="","",ROUND(L115/(1-N115/100),1))</f>
        <v/>
      </c>
      <c r="R115">
        <f>IF(M115="","",ROUND(M115/(1-N115/100),1))</f>
        <v/>
      </c>
      <c r="AK115">
        <f>IF(AF115="","",IF(AH115="",IFERROR(VLOOKUP(AG115,Довідник_мінералів!$A:$B,2,0),"-"),ROUND(IFERROR(VLOOKUP(AG115,Довідник_мінералів!$A:$B,2,0),0)*AH115/100+IFERROR(VLOOKUP(AI115,Довідник_мінералів!$A:$B,2,0),0)*AJ115/100,0)))</f>
        <v/>
      </c>
      <c r="AQ115">
        <f>IF(AL115="","",IF(AN115="",IFERROR(VLOOKUP(AM115,Довідник_мінералів!$A:$B,2,0),"-"),ROUND(IFERROR(VLOOKUP(AM115,Довідник_мінералів!$A:$B,2,0),0)*AN115/100+IFERROR(VLOOKUP(AO115,Довідник_мінералів!$A:$B,2,0),0)*AP115/100,0)))</f>
        <v/>
      </c>
      <c r="AU115">
        <f>IF(AR115="","",IFERROR(VLOOKUP(AS115,Довідник_мінералів!$A:$B,2,0),"-"))</f>
        <v/>
      </c>
      <c r="AY115">
        <f>IF(AV115="","",IFERROR(VLOOKUP(AW115,Довідник_мінералів!$A:$B,2,0),"-"))</f>
        <v/>
      </c>
      <c r="BB115">
        <f>IF(SE115="","",IFERROR(VLOOKUP(BA115,Довідник_мінералів!$A:$B,2,0),"-"))</f>
        <v/>
      </c>
    </row>
    <row r="116">
      <c r="A116" s="9" t="n"/>
      <c r="B116" s="9" t="n"/>
      <c r="C116" s="9" t="n"/>
      <c r="D116" s="9" t="n"/>
      <c r="E116" s="9" t="n"/>
      <c r="F116" s="9" t="n"/>
      <c r="G116" s="9" t="n"/>
      <c r="H116" s="9" t="n"/>
      <c r="I116" s="9" t="n"/>
      <c r="O116">
        <f>IF(J116="","",ROUND(J116/(1-N116/100),1))</f>
        <v/>
      </c>
      <c r="P116">
        <f>IF(K116="","",ROUND(K116/(1-N116/100),1))</f>
        <v/>
      </c>
      <c r="Q116">
        <f>IF(L116="","",ROUND(L116/(1-N116/100),1))</f>
        <v/>
      </c>
      <c r="R116">
        <f>IF(M116="","",ROUND(M116/(1-N116/100),1))</f>
        <v/>
      </c>
      <c r="AK116">
        <f>IF(AF116="","",IF(AH116="",IFERROR(VLOOKUP(AG116,Довідник_мінералів!$A:$B,2,0),"-"),ROUND(IFERROR(VLOOKUP(AG116,Довідник_мінералів!$A:$B,2,0),0)*AH116/100+IFERROR(VLOOKUP(AI116,Довідник_мінералів!$A:$B,2,0),0)*AJ116/100,0)))</f>
        <v/>
      </c>
      <c r="AQ116">
        <f>IF(AL116="","",IF(AN116="",IFERROR(VLOOKUP(AM116,Довідник_мінералів!$A:$B,2,0),"-"),ROUND(IFERROR(VLOOKUP(AM116,Довідник_мінералів!$A:$B,2,0),0)*AN116/100+IFERROR(VLOOKUP(AO116,Довідник_мінералів!$A:$B,2,0),0)*AP116/100,0)))</f>
        <v/>
      </c>
      <c r="AU116">
        <f>IF(AR116="","",IFERROR(VLOOKUP(AS116,Довідник_мінералів!$A:$B,2,0),"-"))</f>
        <v/>
      </c>
      <c r="AY116">
        <f>IF(AV116="","",IFERROR(VLOOKUP(AW116,Довідник_мінералів!$A:$B,2,0),"-"))</f>
        <v/>
      </c>
      <c r="BB116">
        <f>IF(SE116="","",IFERROR(VLOOKUP(BA116,Довідник_мінералів!$A:$B,2,0),"-"))</f>
        <v/>
      </c>
    </row>
    <row r="117">
      <c r="O117">
        <f>IF(J117="","",ROUND(J117/(1-N117/100),1))</f>
        <v/>
      </c>
      <c r="P117">
        <f>IF(K117="","",ROUND(K117/(1-N117/100),1))</f>
        <v/>
      </c>
      <c r="Q117">
        <f>IF(L117="","",ROUND(L117/(1-N117/100),1))</f>
        <v/>
      </c>
      <c r="R117">
        <f>IF(M117="","",ROUND(M117/(1-N117/100),1))</f>
        <v/>
      </c>
      <c r="AK117">
        <f>IF(AF117="","",IF(AH117="",IFERROR(VLOOKUP(AG117,Довідник_мінералів!$A:$B,2,0),"-"),ROUND(IFERROR(VLOOKUP(AG117,Довідник_мінералів!$A:$B,2,0),0)*AH117/100+IFERROR(VLOOKUP(AI117,Довідник_мінералів!$A:$B,2,0),0)*AJ117/100,0)))</f>
        <v/>
      </c>
      <c r="AQ117">
        <f>IF(AL117="","",IF(AN117="",IFERROR(VLOOKUP(AM117,Довідник_мінералів!$A:$B,2,0),"-"),ROUND(IFERROR(VLOOKUP(AM117,Довідник_мінералів!$A:$B,2,0),0)*AN117/100+IFERROR(VLOOKUP(AO117,Довідник_мінералів!$A:$B,2,0),0)*AP117/100,0)))</f>
        <v/>
      </c>
      <c r="AU117">
        <f>IF(AR117="","",IFERROR(VLOOKUP(AS117,Довідник_мінералів!$A:$B,2,0),"-"))</f>
        <v/>
      </c>
      <c r="AY117">
        <f>IF(AV117="","",IFERROR(VLOOKUP(AW117,Довідник_мінералів!$A:$B,2,0),"-"))</f>
        <v/>
      </c>
      <c r="BB117">
        <f>IF(SE117="","",IFERROR(VLOOKUP(BA117,Довідник_мінералів!$A:$B,2,0),"-"))</f>
        <v/>
      </c>
    </row>
    <row r="118">
      <c r="A118" s="9" t="n"/>
      <c r="B118" s="9" t="n"/>
      <c r="C118" s="9" t="n"/>
      <c r="D118" s="9" t="n"/>
      <c r="E118" s="9" t="n"/>
      <c r="F118" s="9" t="n"/>
      <c r="G118" s="9" t="n"/>
      <c r="H118" s="9" t="n"/>
      <c r="I118" s="9" t="n"/>
      <c r="O118">
        <f>IF(J118="","",ROUND(J118/(1-N118/100),1))</f>
        <v/>
      </c>
      <c r="P118">
        <f>IF(K118="","",ROUND(K118/(1-N118/100),1))</f>
        <v/>
      </c>
      <c r="Q118">
        <f>IF(L118="","",ROUND(L118/(1-N118/100),1))</f>
        <v/>
      </c>
      <c r="R118">
        <f>IF(M118="","",ROUND(M118/(1-N118/100),1))</f>
        <v/>
      </c>
      <c r="AK118">
        <f>IF(AF118="","",IF(AH118="",IFERROR(VLOOKUP(AG118,Довідник_мінералів!$A:$B,2,0),"-"),ROUND(IFERROR(VLOOKUP(AG118,Довідник_мінералів!$A:$B,2,0),0)*AH118/100+IFERROR(VLOOKUP(AI118,Довідник_мінералів!$A:$B,2,0),0)*AJ118/100,0)))</f>
        <v/>
      </c>
      <c r="AQ118">
        <f>IF(AL118="","",IF(AN118="",IFERROR(VLOOKUP(AM118,Довідник_мінералів!$A:$B,2,0),"-"),ROUND(IFERROR(VLOOKUP(AM118,Довідник_мінералів!$A:$B,2,0),0)*AN118/100+IFERROR(VLOOKUP(AO118,Довідник_мінералів!$A:$B,2,0),0)*AP118/100,0)))</f>
        <v/>
      </c>
      <c r="AU118">
        <f>IF(AR118="","",IFERROR(VLOOKUP(AS118,Довідник_мінералів!$A:$B,2,0),"-"))</f>
        <v/>
      </c>
      <c r="AY118">
        <f>IF(AV118="","",IFERROR(VLOOKUP(AW118,Довідник_мінералів!$A:$B,2,0),"-"))</f>
        <v/>
      </c>
      <c r="BB118">
        <f>IF(SE118="","",IFERROR(VLOOKUP(BA118,Довідник_мінералів!$A:$B,2,0),"-"))</f>
        <v/>
      </c>
    </row>
    <row r="119">
      <c r="O119">
        <f>IF(J119="","",ROUND(J119/(1-N119/100),1))</f>
        <v/>
      </c>
      <c r="P119">
        <f>IF(K119="","",ROUND(K119/(1-N119/100),1))</f>
        <v/>
      </c>
      <c r="Q119">
        <f>IF(L119="","",ROUND(L119/(1-N119/100),1))</f>
        <v/>
      </c>
      <c r="R119">
        <f>IF(M119="","",ROUND(M119/(1-N119/100),1))</f>
        <v/>
      </c>
      <c r="AK119">
        <f>IF(AF119="","",IF(AH119="",IFERROR(VLOOKUP(AG119,Довідник_мінералів!$A:$B,2,0),"-"),ROUND(IFERROR(VLOOKUP(AG119,Довідник_мінералів!$A:$B,2,0),0)*AH119/100+IFERROR(VLOOKUP(AI119,Довідник_мінералів!$A:$B,2,0),0)*AJ119/100,0)))</f>
        <v/>
      </c>
      <c r="AQ119">
        <f>IF(AL119="","",IF(AN119="",IFERROR(VLOOKUP(AM119,Довідник_мінералів!$A:$B,2,0),"-"),ROUND(IFERROR(VLOOKUP(AM119,Довідник_мінералів!$A:$B,2,0),0)*AN119/100+IFERROR(VLOOKUP(AO119,Довідник_мінералів!$A:$B,2,0),0)*AP119/100,0)))</f>
        <v/>
      </c>
      <c r="AU119">
        <f>IF(AR119="","",IFERROR(VLOOKUP(AS119,Довідник_мінералів!$A:$B,2,0),"-"))</f>
        <v/>
      </c>
      <c r="AY119">
        <f>IF(AV119="","",IFERROR(VLOOKUP(AW119,Довідник_мінералів!$A:$B,2,0),"-"))</f>
        <v/>
      </c>
      <c r="BB119">
        <f>IF(SE119="","",IFERROR(VLOOKUP(BA119,Довідник_мінералів!$A:$B,2,0),"-"))</f>
        <v/>
      </c>
    </row>
    <row r="120">
      <c r="A120" s="9" t="n"/>
      <c r="B120" s="9" t="n"/>
      <c r="C120" s="9" t="n"/>
      <c r="D120" s="9" t="n"/>
      <c r="E120" s="9" t="n"/>
      <c r="F120" s="9" t="n"/>
      <c r="G120" s="9" t="n"/>
      <c r="H120" s="9" t="n"/>
      <c r="I120" s="9" t="n"/>
      <c r="O120">
        <f>IF(J120="","",ROUND(J120/(1-N120/100),1))</f>
        <v/>
      </c>
      <c r="P120">
        <f>IF(K120="","",ROUND(K120/(1-N120/100),1))</f>
        <v/>
      </c>
      <c r="Q120">
        <f>IF(L120="","",ROUND(L120/(1-N120/100),1))</f>
        <v/>
      </c>
      <c r="R120">
        <f>IF(M120="","",ROUND(M120/(1-N120/100),1))</f>
        <v/>
      </c>
      <c r="AK120">
        <f>IF(AF120="","",IF(AH120="",IFERROR(VLOOKUP(AG120,Довідник_мінералів!$A:$B,2,0),"-"),ROUND(IFERROR(VLOOKUP(AG120,Довідник_мінералів!$A:$B,2,0),0)*AH120/100+IFERROR(VLOOKUP(AI120,Довідник_мінералів!$A:$B,2,0),0)*AJ120/100,0)))</f>
        <v/>
      </c>
      <c r="AQ120">
        <f>IF(AL120="","",IF(AN120="",IFERROR(VLOOKUP(AM120,Довідник_мінералів!$A:$B,2,0),"-"),ROUND(IFERROR(VLOOKUP(AM120,Довідник_мінералів!$A:$B,2,0),0)*AN120/100+IFERROR(VLOOKUP(AO120,Довідник_мінералів!$A:$B,2,0),0)*AP120/100,0)))</f>
        <v/>
      </c>
      <c r="AU120">
        <f>IF(AR120="","",IFERROR(VLOOKUP(AS120,Довідник_мінералів!$A:$B,2,0),"-"))</f>
        <v/>
      </c>
      <c r="AY120">
        <f>IF(AV120="","",IFERROR(VLOOKUP(AW120,Довідник_мінералів!$A:$B,2,0),"-"))</f>
        <v/>
      </c>
      <c r="BB120">
        <f>IF(SE120="","",IFERROR(VLOOKUP(BA120,Довідник_мінералів!$A:$B,2,0),"-"))</f>
        <v/>
      </c>
    </row>
    <row r="121">
      <c r="O121">
        <f>IF(J121="","",ROUND(J121/(1-N121/100),1))</f>
        <v/>
      </c>
      <c r="P121">
        <f>IF(K121="","",ROUND(K121/(1-N121/100),1))</f>
        <v/>
      </c>
      <c r="Q121">
        <f>IF(L121="","",ROUND(L121/(1-N121/100),1))</f>
        <v/>
      </c>
      <c r="R121">
        <f>IF(M121="","",ROUND(M121/(1-N121/100),1))</f>
        <v/>
      </c>
      <c r="AK121">
        <f>IF(AF121="","",IF(AH121="",IFERROR(VLOOKUP(AG121,Довідник_мінералів!$A:$B,2,0),"-"),ROUND(IFERROR(VLOOKUP(AG121,Довідник_мінералів!$A:$B,2,0),0)*AH121/100+IFERROR(VLOOKUP(AI121,Довідник_мінералів!$A:$B,2,0),0)*AJ121/100,0)))</f>
        <v/>
      </c>
      <c r="AQ121">
        <f>IF(AL121="","",IF(AN121="",IFERROR(VLOOKUP(AM121,Довідник_мінералів!$A:$B,2,0),"-"),ROUND(IFERROR(VLOOKUP(AM121,Довідник_мінералів!$A:$B,2,0),0)*AN121/100+IFERROR(VLOOKUP(AO121,Довідник_мінералів!$A:$B,2,0),0)*AP121/100,0)))</f>
        <v/>
      </c>
      <c r="AU121">
        <f>IF(AR121="","",IFERROR(VLOOKUP(AS121,Довідник_мінералів!$A:$B,2,0),"-"))</f>
        <v/>
      </c>
      <c r="AY121">
        <f>IF(AV121="","",IFERROR(VLOOKUP(AW121,Довідник_мінералів!$A:$B,2,0),"-"))</f>
        <v/>
      </c>
      <c r="BB121">
        <f>IF(SE121="","",IFERROR(VLOOKUP(BA121,Довідник_мінералів!$A:$B,2,0),"-"))</f>
        <v/>
      </c>
    </row>
    <row r="122">
      <c r="A122" s="9" t="n"/>
      <c r="B122" s="9" t="n"/>
      <c r="C122" s="9" t="n"/>
      <c r="D122" s="9" t="n"/>
      <c r="E122" s="9" t="n"/>
      <c r="F122" s="9" t="n"/>
      <c r="G122" s="9" t="n"/>
      <c r="H122" s="9" t="n"/>
      <c r="I122" s="9" t="n"/>
      <c r="O122">
        <f>IF(J122="","",ROUND(J122/(1-N122/100),1))</f>
        <v/>
      </c>
      <c r="P122">
        <f>IF(K122="","",ROUND(K122/(1-N122/100),1))</f>
        <v/>
      </c>
      <c r="Q122">
        <f>IF(L122="","",ROUND(L122/(1-N122/100),1))</f>
        <v/>
      </c>
      <c r="R122">
        <f>IF(M122="","",ROUND(M122/(1-N122/100),1))</f>
        <v/>
      </c>
      <c r="AK122">
        <f>IF(AF122="","",IF(AH122="",IFERROR(VLOOKUP(AG122,Довідник_мінералів!$A:$B,2,0),"-"),ROUND(IFERROR(VLOOKUP(AG122,Довідник_мінералів!$A:$B,2,0),0)*AH122/100+IFERROR(VLOOKUP(AI122,Довідник_мінералів!$A:$B,2,0),0)*AJ122/100,0)))</f>
        <v/>
      </c>
      <c r="AQ122">
        <f>IF(AL122="","",IF(AN122="",IFERROR(VLOOKUP(AM122,Довідник_мінералів!$A:$B,2,0),"-"),ROUND(IFERROR(VLOOKUP(AM122,Довідник_мінералів!$A:$B,2,0),0)*AN122/100+IFERROR(VLOOKUP(AO122,Довідник_мінералів!$A:$B,2,0),0)*AP122/100,0)))</f>
        <v/>
      </c>
      <c r="AU122">
        <f>IF(AR122="","",IFERROR(VLOOKUP(AS122,Довідник_мінералів!$A:$B,2,0),"-"))</f>
        <v/>
      </c>
      <c r="AY122">
        <f>IF(AV122="","",IFERROR(VLOOKUP(AW122,Довідник_мінералів!$A:$B,2,0),"-"))</f>
        <v/>
      </c>
      <c r="BB122">
        <f>IF(SE122="","",IFERROR(VLOOKUP(BA122,Довідник_мінералів!$A:$B,2,0),"-"))</f>
        <v/>
      </c>
    </row>
    <row r="123">
      <c r="O123">
        <f>IF(J123="","",ROUND(J123/(1-N123/100),1))</f>
        <v/>
      </c>
      <c r="P123">
        <f>IF(K123="","",ROUND(K123/(1-N123/100),1))</f>
        <v/>
      </c>
      <c r="Q123">
        <f>IF(L123="","",ROUND(L123/(1-N123/100),1))</f>
        <v/>
      </c>
      <c r="R123">
        <f>IF(M123="","",ROUND(M123/(1-N123/100),1))</f>
        <v/>
      </c>
      <c r="AK123">
        <f>IF(AF123="","",IF(AH123="",IFERROR(VLOOKUP(AG123,Довідник_мінералів!$A:$B,2,0),"-"),ROUND(IFERROR(VLOOKUP(AG123,Довідник_мінералів!$A:$B,2,0),0)*AH123/100+IFERROR(VLOOKUP(AI123,Довідник_мінералів!$A:$B,2,0),0)*AJ123/100,0)))</f>
        <v/>
      </c>
      <c r="AQ123">
        <f>IF(AL123="","",IF(AN123="",IFERROR(VLOOKUP(AM123,Довідник_мінералів!$A:$B,2,0),"-"),ROUND(IFERROR(VLOOKUP(AM123,Довідник_мінералів!$A:$B,2,0),0)*AN123/100+IFERROR(VLOOKUP(AO123,Довідник_мінералів!$A:$B,2,0),0)*AP123/100,0)))</f>
        <v/>
      </c>
      <c r="AU123">
        <f>IF(AR123="","",IFERROR(VLOOKUP(AS123,Довідник_мінералів!$A:$B,2,0),"-"))</f>
        <v/>
      </c>
      <c r="AY123">
        <f>IF(AV123="","",IFERROR(VLOOKUP(AW123,Довідник_мінералів!$A:$B,2,0),"-"))</f>
        <v/>
      </c>
      <c r="BB123">
        <f>IF(SE123="","",IFERROR(VLOOKUP(BA123,Довідник_мінералів!$A:$B,2,0),"-"))</f>
        <v/>
      </c>
    </row>
    <row r="124">
      <c r="A124" s="9" t="n"/>
      <c r="B124" s="9" t="n"/>
      <c r="C124" s="9" t="n"/>
      <c r="D124" s="9" t="n"/>
      <c r="E124" s="9" t="n"/>
      <c r="F124" s="9" t="n"/>
      <c r="G124" s="9" t="n"/>
      <c r="H124" s="9" t="n"/>
      <c r="I124" s="9" t="n"/>
      <c r="O124">
        <f>IF(J124="","",ROUND(J124/(1-N124/100),1))</f>
        <v/>
      </c>
      <c r="P124">
        <f>IF(K124="","",ROUND(K124/(1-N124/100),1))</f>
        <v/>
      </c>
      <c r="Q124">
        <f>IF(L124="","",ROUND(L124/(1-N124/100),1))</f>
        <v/>
      </c>
      <c r="R124">
        <f>IF(M124="","",ROUND(M124/(1-N124/100),1))</f>
        <v/>
      </c>
      <c r="AK124">
        <f>IF(AF124="","",IF(AH124="",IFERROR(VLOOKUP(AG124,Довідник_мінералів!$A:$B,2,0),"-"),ROUND(IFERROR(VLOOKUP(AG124,Довідник_мінералів!$A:$B,2,0),0)*AH124/100+IFERROR(VLOOKUP(AI124,Довідник_мінералів!$A:$B,2,0),0)*AJ124/100,0)))</f>
        <v/>
      </c>
      <c r="AQ124">
        <f>IF(AL124="","",IF(AN124="",IFERROR(VLOOKUP(AM124,Довідник_мінералів!$A:$B,2,0),"-"),ROUND(IFERROR(VLOOKUP(AM124,Довідник_мінералів!$A:$B,2,0),0)*AN124/100+IFERROR(VLOOKUP(AO124,Довідник_мінералів!$A:$B,2,0),0)*AP124/100,0)))</f>
        <v/>
      </c>
      <c r="AU124">
        <f>IF(AR124="","",IFERROR(VLOOKUP(AS124,Довідник_мінералів!$A:$B,2,0),"-"))</f>
        <v/>
      </c>
      <c r="AY124">
        <f>IF(AV124="","",IFERROR(VLOOKUP(AW124,Довідник_мінералів!$A:$B,2,0),"-"))</f>
        <v/>
      </c>
      <c r="BB124">
        <f>IF(SE124="","",IFERROR(VLOOKUP(BA124,Довідник_мінералів!$A:$B,2,0),"-"))</f>
        <v/>
      </c>
    </row>
    <row r="125">
      <c r="O125">
        <f>IF(J125="","",ROUND(J125/(1-N125/100),1))</f>
        <v/>
      </c>
      <c r="P125">
        <f>IF(K125="","",ROUND(K125/(1-N125/100),1))</f>
        <v/>
      </c>
      <c r="Q125">
        <f>IF(L125="","",ROUND(L125/(1-N125/100),1))</f>
        <v/>
      </c>
      <c r="R125">
        <f>IF(M125="","",ROUND(M125/(1-N125/100),1))</f>
        <v/>
      </c>
      <c r="AK125">
        <f>IF(AF125="","",IF(AH125="",IFERROR(VLOOKUP(AG125,Довідник_мінералів!$A:$B,2,0),"-"),ROUND(IFERROR(VLOOKUP(AG125,Довідник_мінералів!$A:$B,2,0),0)*AH125/100+IFERROR(VLOOKUP(AI125,Довідник_мінералів!$A:$B,2,0),0)*AJ125/100,0)))</f>
        <v/>
      </c>
      <c r="AQ125">
        <f>IF(AL125="","",IF(AN125="",IFERROR(VLOOKUP(AM125,Довідник_мінералів!$A:$B,2,0),"-"),ROUND(IFERROR(VLOOKUP(AM125,Довідник_мінералів!$A:$B,2,0),0)*AN125/100+IFERROR(VLOOKUP(AO125,Довідник_мінералів!$A:$B,2,0),0)*AP125/100,0)))</f>
        <v/>
      </c>
      <c r="AU125">
        <f>IF(AR125="","",IFERROR(VLOOKUP(AS125,Довідник_мінералів!$A:$B,2,0),"-"))</f>
        <v/>
      </c>
      <c r="AY125">
        <f>IF(AV125="","",IFERROR(VLOOKUP(AW125,Довідник_мінералів!$A:$B,2,0),"-"))</f>
        <v/>
      </c>
      <c r="BB125">
        <f>IF(SE125="","",IFERROR(VLOOKUP(BA125,Довідник_мінералів!$A:$B,2,0),"-"))</f>
        <v/>
      </c>
    </row>
    <row r="126">
      <c r="A126" s="9" t="n"/>
      <c r="B126" s="9" t="n"/>
      <c r="C126" s="9" t="n"/>
      <c r="D126" s="9" t="n"/>
      <c r="E126" s="9" t="n"/>
      <c r="F126" s="9" t="n"/>
      <c r="G126" s="9" t="n"/>
      <c r="H126" s="9" t="n"/>
      <c r="I126" s="9" t="n"/>
      <c r="O126">
        <f>IF(J126="","",ROUND(J126/(1-N126/100),1))</f>
        <v/>
      </c>
      <c r="P126">
        <f>IF(K126="","",ROUND(K126/(1-N126/100),1))</f>
        <v/>
      </c>
      <c r="Q126">
        <f>IF(L126="","",ROUND(L126/(1-N126/100),1))</f>
        <v/>
      </c>
      <c r="R126">
        <f>IF(M126="","",ROUND(M126/(1-N126/100),1))</f>
        <v/>
      </c>
      <c r="AK126">
        <f>IF(AF126="","",IF(AH126="",IFERROR(VLOOKUP(AG126,Довідник_мінералів!$A:$B,2,0),"-"),ROUND(IFERROR(VLOOKUP(AG126,Довідник_мінералів!$A:$B,2,0),0)*AH126/100+IFERROR(VLOOKUP(AI126,Довідник_мінералів!$A:$B,2,0),0)*AJ126/100,0)))</f>
        <v/>
      </c>
      <c r="AQ126">
        <f>IF(AL126="","",IF(AN126="",IFERROR(VLOOKUP(AM126,Довідник_мінералів!$A:$B,2,0),"-"),ROUND(IFERROR(VLOOKUP(AM126,Довідник_мінералів!$A:$B,2,0),0)*AN126/100+IFERROR(VLOOKUP(AO126,Довідник_мінералів!$A:$B,2,0),0)*AP126/100,0)))</f>
        <v/>
      </c>
      <c r="AU126">
        <f>IF(AR126="","",IFERROR(VLOOKUP(AS126,Довідник_мінералів!$A:$B,2,0),"-"))</f>
        <v/>
      </c>
      <c r="AY126">
        <f>IF(AV126="","",IFERROR(VLOOKUP(AW126,Довідник_мінералів!$A:$B,2,0),"-"))</f>
        <v/>
      </c>
      <c r="BB126">
        <f>IF(SE126="","",IFERROR(VLOOKUP(BA126,Довідник_мінералів!$A:$B,2,0),"-"))</f>
        <v/>
      </c>
    </row>
    <row r="127">
      <c r="O127">
        <f>IF(J127="","",ROUND(J127/(1-N127/100),1))</f>
        <v/>
      </c>
      <c r="P127">
        <f>IF(K127="","",ROUND(K127/(1-N127/100),1))</f>
        <v/>
      </c>
      <c r="Q127">
        <f>IF(L127="","",ROUND(L127/(1-N127/100),1))</f>
        <v/>
      </c>
      <c r="R127">
        <f>IF(M127="","",ROUND(M127/(1-N127/100),1))</f>
        <v/>
      </c>
      <c r="AK127">
        <f>IF(AF127="","",IF(AH127="",IFERROR(VLOOKUP(AG127,Довідник_мінералів!$A:$B,2,0),"-"),ROUND(IFERROR(VLOOKUP(AG127,Довідник_мінералів!$A:$B,2,0),0)*AH127/100+IFERROR(VLOOKUP(AI127,Довідник_мінералів!$A:$B,2,0),0)*AJ127/100,0)))</f>
        <v/>
      </c>
      <c r="AQ127">
        <f>IF(AL127="","",IF(AN127="",IFERROR(VLOOKUP(AM127,Довідник_мінералів!$A:$B,2,0),"-"),ROUND(IFERROR(VLOOKUP(AM127,Довідник_мінералів!$A:$B,2,0),0)*AN127/100+IFERROR(VLOOKUP(AO127,Довідник_мінералів!$A:$B,2,0),0)*AP127/100,0)))</f>
        <v/>
      </c>
      <c r="AU127">
        <f>IF(AR127="","",IFERROR(VLOOKUP(AS127,Довідник_мінералів!$A:$B,2,0),"-"))</f>
        <v/>
      </c>
      <c r="AY127">
        <f>IF(AV127="","",IFERROR(VLOOKUP(AW127,Довідник_мінералів!$A:$B,2,0),"-"))</f>
        <v/>
      </c>
      <c r="BB127">
        <f>IF(SE127="","",IFERROR(VLOOKUP(BA127,Довідник_мінералів!$A:$B,2,0),"-"))</f>
        <v/>
      </c>
    </row>
    <row r="128">
      <c r="A128" s="9" t="n"/>
      <c r="B128" s="9" t="n"/>
      <c r="C128" s="9" t="n"/>
      <c r="D128" s="9" t="n"/>
      <c r="E128" s="9" t="n"/>
      <c r="F128" s="9" t="n"/>
      <c r="G128" s="9" t="n"/>
      <c r="H128" s="9" t="n"/>
      <c r="I128" s="9" t="n"/>
      <c r="O128">
        <f>IF(J128="","",ROUND(J128/(1-N128/100),1))</f>
        <v/>
      </c>
      <c r="P128">
        <f>IF(K128="","",ROUND(K128/(1-N128/100),1))</f>
        <v/>
      </c>
      <c r="Q128">
        <f>IF(L128="","",ROUND(L128/(1-N128/100),1))</f>
        <v/>
      </c>
      <c r="R128">
        <f>IF(M128="","",ROUND(M128/(1-N128/100),1))</f>
        <v/>
      </c>
      <c r="AK128">
        <f>IF(AF128="","",IF(AH128="",IFERROR(VLOOKUP(AG128,Довідник_мінералів!$A:$B,2,0),"-"),ROUND(IFERROR(VLOOKUP(AG128,Довідник_мінералів!$A:$B,2,0),0)*AH128/100+IFERROR(VLOOKUP(AI128,Довідник_мінералів!$A:$B,2,0),0)*AJ128/100,0)))</f>
        <v/>
      </c>
      <c r="AQ128">
        <f>IF(AL128="","",IF(AN128="",IFERROR(VLOOKUP(AM128,Довідник_мінералів!$A:$B,2,0),"-"),ROUND(IFERROR(VLOOKUP(AM128,Довідник_мінералів!$A:$B,2,0),0)*AN128/100+IFERROR(VLOOKUP(AO128,Довідник_мінералів!$A:$B,2,0),0)*AP128/100,0)))</f>
        <v/>
      </c>
      <c r="AU128">
        <f>IF(AR128="","",IFERROR(VLOOKUP(AS128,Довідник_мінералів!$A:$B,2,0),"-"))</f>
        <v/>
      </c>
      <c r="AY128">
        <f>IF(AV128="","",IFERROR(VLOOKUP(AW128,Довідник_мінералів!$A:$B,2,0),"-"))</f>
        <v/>
      </c>
      <c r="BB128">
        <f>IF(SE128="","",IFERROR(VLOOKUP(BA128,Довідник_мінералів!$A:$B,2,0),"-"))</f>
        <v/>
      </c>
    </row>
    <row r="129">
      <c r="O129">
        <f>IF(J129="","",ROUND(J129/(1-N129/100),1))</f>
        <v/>
      </c>
      <c r="P129">
        <f>IF(K129="","",ROUND(K129/(1-N129/100),1))</f>
        <v/>
      </c>
      <c r="Q129">
        <f>IF(L129="","",ROUND(L129/(1-N129/100),1))</f>
        <v/>
      </c>
      <c r="R129">
        <f>IF(M129="","",ROUND(M129/(1-N129/100),1))</f>
        <v/>
      </c>
      <c r="AK129">
        <f>IF(AF129="","",IF(AH129="",IFERROR(VLOOKUP(AG129,Довідник_мінералів!$A:$B,2,0),"-"),ROUND(IFERROR(VLOOKUP(AG129,Довідник_мінералів!$A:$B,2,0),0)*AH129/100+IFERROR(VLOOKUP(AI129,Довідник_мінералів!$A:$B,2,0),0)*AJ129/100,0)))</f>
        <v/>
      </c>
      <c r="AQ129">
        <f>IF(AL129="","",IF(AN129="",IFERROR(VLOOKUP(AM129,Довідник_мінералів!$A:$B,2,0),"-"),ROUND(IFERROR(VLOOKUP(AM129,Довідник_мінералів!$A:$B,2,0),0)*AN129/100+IFERROR(VLOOKUP(AO129,Довідник_мінералів!$A:$B,2,0),0)*AP129/100,0)))</f>
        <v/>
      </c>
      <c r="AU129">
        <f>IF(AR129="","",IFERROR(VLOOKUP(AS129,Довідник_мінералів!$A:$B,2,0),"-"))</f>
        <v/>
      </c>
      <c r="AY129">
        <f>IF(AV129="","",IFERROR(VLOOKUP(AW129,Довідник_мінералів!$A:$B,2,0),"-"))</f>
        <v/>
      </c>
      <c r="BB129">
        <f>IF(SE129="","",IFERROR(VLOOKUP(BA129,Довідник_мінералів!$A:$B,2,0),"-"))</f>
        <v/>
      </c>
    </row>
    <row r="130">
      <c r="A130" s="9" t="n"/>
      <c r="B130" s="9" t="n"/>
      <c r="C130" s="9" t="n"/>
      <c r="D130" s="9" t="n"/>
      <c r="E130" s="9" t="n"/>
      <c r="F130" s="9" t="n"/>
      <c r="G130" s="9" t="n"/>
      <c r="H130" s="9" t="n"/>
      <c r="I130" s="9" t="n"/>
      <c r="O130">
        <f>IF(J130="","",ROUND(J130/(1-N130/100),1))</f>
        <v/>
      </c>
      <c r="P130">
        <f>IF(K130="","",ROUND(K130/(1-N130/100),1))</f>
        <v/>
      </c>
      <c r="Q130">
        <f>IF(L130="","",ROUND(L130/(1-N130/100),1))</f>
        <v/>
      </c>
      <c r="R130">
        <f>IF(M130="","",ROUND(M130/(1-N130/100),1))</f>
        <v/>
      </c>
      <c r="AK130">
        <f>IF(AF130="","",IF(AH130="",IFERROR(VLOOKUP(AG130,Довідник_мінералів!$A:$B,2,0),"-"),ROUND(IFERROR(VLOOKUP(AG130,Довідник_мінералів!$A:$B,2,0),0)*AH130/100+IFERROR(VLOOKUP(AI130,Довідник_мінералів!$A:$B,2,0),0)*AJ130/100,0)))</f>
        <v/>
      </c>
      <c r="AQ130">
        <f>IF(AL130="","",IF(AN130="",IFERROR(VLOOKUP(AM130,Довідник_мінералів!$A:$B,2,0),"-"),ROUND(IFERROR(VLOOKUP(AM130,Довідник_мінералів!$A:$B,2,0),0)*AN130/100+IFERROR(VLOOKUP(AO130,Довідник_мінералів!$A:$B,2,0),0)*AP130/100,0)))</f>
        <v/>
      </c>
      <c r="AU130">
        <f>IF(AR130="","",IFERROR(VLOOKUP(AS130,Довідник_мінералів!$A:$B,2,0),"-"))</f>
        <v/>
      </c>
      <c r="AY130">
        <f>IF(AV130="","",IFERROR(VLOOKUP(AW130,Довідник_мінералів!$A:$B,2,0),"-"))</f>
        <v/>
      </c>
      <c r="BB130">
        <f>IF(SE130="","",IFERROR(VLOOKUP(BA130,Довідник_мінералів!$A:$B,2,0),"-"))</f>
        <v/>
      </c>
    </row>
    <row r="131">
      <c r="O131">
        <f>IF(J131="","",ROUND(J131/(1-N131/100),1))</f>
        <v/>
      </c>
      <c r="P131">
        <f>IF(K131="","",ROUND(K131/(1-N131/100),1))</f>
        <v/>
      </c>
      <c r="Q131">
        <f>IF(L131="","",ROUND(L131/(1-N131/100),1))</f>
        <v/>
      </c>
      <c r="R131">
        <f>IF(M131="","",ROUND(M131/(1-N131/100),1))</f>
        <v/>
      </c>
      <c r="AK131">
        <f>IF(AF131="","",IF(AH131="",IFERROR(VLOOKUP(AG131,Довідник_мінералів!$A:$B,2,0),"-"),ROUND(IFERROR(VLOOKUP(AG131,Довідник_мінералів!$A:$B,2,0),0)*AH131/100+IFERROR(VLOOKUP(AI131,Довідник_мінералів!$A:$B,2,0),0)*AJ131/100,0)))</f>
        <v/>
      </c>
      <c r="AQ131">
        <f>IF(AL131="","",IF(AN131="",IFERROR(VLOOKUP(AM131,Довідник_мінералів!$A:$B,2,0),"-"),ROUND(IFERROR(VLOOKUP(AM131,Довідник_мінералів!$A:$B,2,0),0)*AN131/100+IFERROR(VLOOKUP(AO131,Довідник_мінералів!$A:$B,2,0),0)*AP131/100,0)))</f>
        <v/>
      </c>
      <c r="AU131">
        <f>IF(AR131="","",IFERROR(VLOOKUP(AS131,Довідник_мінералів!$A:$B,2,0),"-"))</f>
        <v/>
      </c>
      <c r="AY131">
        <f>IF(AV131="","",IFERROR(VLOOKUP(AW131,Довідник_мінералів!$A:$B,2,0),"-"))</f>
        <v/>
      </c>
      <c r="BB131">
        <f>IF(SE131="","",IFERROR(VLOOKUP(BA131,Довідник_мінералів!$A:$B,2,0),"-"))</f>
        <v/>
      </c>
    </row>
    <row r="132">
      <c r="A132" s="9" t="n"/>
      <c r="B132" s="9" t="n"/>
      <c r="C132" s="9" t="n"/>
      <c r="D132" s="9" t="n"/>
      <c r="E132" s="9" t="n"/>
      <c r="F132" s="9" t="n"/>
      <c r="G132" s="9" t="n"/>
      <c r="H132" s="9" t="n"/>
      <c r="I132" s="9" t="n"/>
      <c r="O132">
        <f>IF(J132="","",ROUND(J132/(1-N132/100),1))</f>
        <v/>
      </c>
      <c r="P132">
        <f>IF(K132="","",ROUND(K132/(1-N132/100),1))</f>
        <v/>
      </c>
      <c r="Q132">
        <f>IF(L132="","",ROUND(L132/(1-N132/100),1))</f>
        <v/>
      </c>
      <c r="R132">
        <f>IF(M132="","",ROUND(M132/(1-N132/100),1))</f>
        <v/>
      </c>
      <c r="AK132">
        <f>IF(AF132="","",IF(AH132="",IFERROR(VLOOKUP(AG132,Довідник_мінералів!$A:$B,2,0),"-"),ROUND(IFERROR(VLOOKUP(AG132,Довідник_мінералів!$A:$B,2,0),0)*AH132/100+IFERROR(VLOOKUP(AI132,Довідник_мінералів!$A:$B,2,0),0)*AJ132/100,0)))</f>
        <v/>
      </c>
      <c r="AQ132">
        <f>IF(AL132="","",IF(AN132="",IFERROR(VLOOKUP(AM132,Довідник_мінералів!$A:$B,2,0),"-"),ROUND(IFERROR(VLOOKUP(AM132,Довідник_мінералів!$A:$B,2,0),0)*AN132/100+IFERROR(VLOOKUP(AO132,Довідник_мінералів!$A:$B,2,0),0)*AP132/100,0)))</f>
        <v/>
      </c>
      <c r="AU132">
        <f>IF(AR132="","",IFERROR(VLOOKUP(AS132,Довідник_мінералів!$A:$B,2,0),"-"))</f>
        <v/>
      </c>
      <c r="AY132">
        <f>IF(AV132="","",IFERROR(VLOOKUP(AW132,Довідник_мінералів!$A:$B,2,0),"-"))</f>
        <v/>
      </c>
      <c r="BB132">
        <f>IF(SE132="","",IFERROR(VLOOKUP(BA132,Довідник_мінералів!$A:$B,2,0),"-"))</f>
        <v/>
      </c>
    </row>
    <row r="133">
      <c r="O133">
        <f>IF(J133="","",ROUND(J133/(1-N133/100),1))</f>
        <v/>
      </c>
      <c r="P133">
        <f>IF(K133="","",ROUND(K133/(1-N133/100),1))</f>
        <v/>
      </c>
      <c r="Q133">
        <f>IF(L133="","",ROUND(L133/(1-N133/100),1))</f>
        <v/>
      </c>
      <c r="R133">
        <f>IF(M133="","",ROUND(M133/(1-N133/100),1))</f>
        <v/>
      </c>
      <c r="AK133">
        <f>IF(AF133="","",IF(AH133="",IFERROR(VLOOKUP(AG133,Довідник_мінералів!$A:$B,2,0),"-"),ROUND(IFERROR(VLOOKUP(AG133,Довідник_мінералів!$A:$B,2,0),0)*AH133/100+IFERROR(VLOOKUP(AI133,Довідник_мінералів!$A:$B,2,0),0)*AJ133/100,0)))</f>
        <v/>
      </c>
      <c r="AQ133">
        <f>IF(AL133="","",IF(AN133="",IFERROR(VLOOKUP(AM133,Довідник_мінералів!$A:$B,2,0),"-"),ROUND(IFERROR(VLOOKUP(AM133,Довідник_мінералів!$A:$B,2,0),0)*AN133/100+IFERROR(VLOOKUP(AO133,Довідник_мінералів!$A:$B,2,0),0)*AP133/100,0)))</f>
        <v/>
      </c>
      <c r="AU133">
        <f>IF(AR133="","",IFERROR(VLOOKUP(AS133,Довідник_мінералів!$A:$B,2,0),"-"))</f>
        <v/>
      </c>
      <c r="AY133">
        <f>IF(AV133="","",IFERROR(VLOOKUP(AW133,Довідник_мінералів!$A:$B,2,0),"-"))</f>
        <v/>
      </c>
      <c r="BB133">
        <f>IF(SE133="","",IFERROR(VLOOKUP(BA133,Довідник_мінералів!$A:$B,2,0),"-"))</f>
        <v/>
      </c>
    </row>
    <row r="134">
      <c r="A134" s="9" t="n"/>
      <c r="B134" s="9" t="n"/>
      <c r="C134" s="9" t="n"/>
      <c r="D134" s="9" t="n"/>
      <c r="E134" s="9" t="n"/>
      <c r="F134" s="9" t="n"/>
      <c r="G134" s="9" t="n"/>
      <c r="H134" s="9" t="n"/>
      <c r="I134" s="9" t="n"/>
      <c r="O134">
        <f>IF(J134="","",ROUND(J134/(1-N134/100),1))</f>
        <v/>
      </c>
      <c r="P134">
        <f>IF(K134="","",ROUND(K134/(1-N134/100),1))</f>
        <v/>
      </c>
      <c r="Q134">
        <f>IF(L134="","",ROUND(L134/(1-N134/100),1))</f>
        <v/>
      </c>
      <c r="R134">
        <f>IF(M134="","",ROUND(M134/(1-N134/100),1))</f>
        <v/>
      </c>
      <c r="AK134">
        <f>IF(AF134="","",IF(AH134="",IFERROR(VLOOKUP(AG134,Довідник_мінералів!$A:$B,2,0),"-"),ROUND(IFERROR(VLOOKUP(AG134,Довідник_мінералів!$A:$B,2,0),0)*AH134/100+IFERROR(VLOOKUP(AI134,Довідник_мінералів!$A:$B,2,0),0)*AJ134/100,0)))</f>
        <v/>
      </c>
      <c r="AQ134">
        <f>IF(AL134="","",IF(AN134="",IFERROR(VLOOKUP(AM134,Довідник_мінералів!$A:$B,2,0),"-"),ROUND(IFERROR(VLOOKUP(AM134,Довідник_мінералів!$A:$B,2,0),0)*AN134/100+IFERROR(VLOOKUP(AO134,Довідник_мінералів!$A:$B,2,0),0)*AP134/100,0)))</f>
        <v/>
      </c>
      <c r="AU134">
        <f>IF(AR134="","",IFERROR(VLOOKUP(AS134,Довідник_мінералів!$A:$B,2,0),"-"))</f>
        <v/>
      </c>
      <c r="AY134">
        <f>IF(AV134="","",IFERROR(VLOOKUP(AW134,Довідник_мінералів!$A:$B,2,0),"-"))</f>
        <v/>
      </c>
      <c r="BB134">
        <f>IF(SE134="","",IFERROR(VLOOKUP(BA134,Довідник_мінералів!$A:$B,2,0),"-"))</f>
        <v/>
      </c>
    </row>
    <row r="135">
      <c r="O135">
        <f>IF(J135="","",ROUND(J135/(1-N135/100),1))</f>
        <v/>
      </c>
      <c r="P135">
        <f>IF(K135="","",ROUND(K135/(1-N135/100),1))</f>
        <v/>
      </c>
      <c r="Q135">
        <f>IF(L135="","",ROUND(L135/(1-N135/100),1))</f>
        <v/>
      </c>
      <c r="R135">
        <f>IF(M135="","",ROUND(M135/(1-N135/100),1))</f>
        <v/>
      </c>
      <c r="AK135">
        <f>IF(AF135="","",IF(AH135="",IFERROR(VLOOKUP(AG135,Довідник_мінералів!$A:$B,2,0),"-"),ROUND(IFERROR(VLOOKUP(AG135,Довідник_мінералів!$A:$B,2,0),0)*AH135/100+IFERROR(VLOOKUP(AI135,Довідник_мінералів!$A:$B,2,0),0)*AJ135/100,0)))</f>
        <v/>
      </c>
      <c r="AQ135">
        <f>IF(AL135="","",IF(AN135="",IFERROR(VLOOKUP(AM135,Довідник_мінералів!$A:$B,2,0),"-"),ROUND(IFERROR(VLOOKUP(AM135,Довідник_мінералів!$A:$B,2,0),0)*AN135/100+IFERROR(VLOOKUP(AO135,Довідник_мінералів!$A:$B,2,0),0)*AP135/100,0)))</f>
        <v/>
      </c>
      <c r="AU135">
        <f>IF(AR135="","",IFERROR(VLOOKUP(AS135,Довідник_мінералів!$A:$B,2,0),"-"))</f>
        <v/>
      </c>
      <c r="AY135">
        <f>IF(AV135="","",IFERROR(VLOOKUP(AW135,Довідник_мінералів!$A:$B,2,0),"-"))</f>
        <v/>
      </c>
      <c r="BB135">
        <f>IF(SE135="","",IFERROR(VLOOKUP(BA135,Довідник_мінералів!$A:$B,2,0),"-"))</f>
        <v/>
      </c>
    </row>
    <row r="136">
      <c r="A136" s="9" t="n"/>
      <c r="B136" s="9" t="n"/>
      <c r="C136" s="9" t="n"/>
      <c r="D136" s="9" t="n"/>
      <c r="E136" s="9" t="n"/>
      <c r="F136" s="9" t="n"/>
      <c r="G136" s="9" t="n"/>
      <c r="H136" s="9" t="n"/>
      <c r="I136" s="9" t="n"/>
      <c r="O136">
        <f>IF(J136="","",ROUND(J136/(1-N136/100),1))</f>
        <v/>
      </c>
      <c r="P136">
        <f>IF(K136="","",ROUND(K136/(1-N136/100),1))</f>
        <v/>
      </c>
      <c r="Q136">
        <f>IF(L136="","",ROUND(L136/(1-N136/100),1))</f>
        <v/>
      </c>
      <c r="R136">
        <f>IF(M136="","",ROUND(M136/(1-N136/100),1))</f>
        <v/>
      </c>
      <c r="AK136">
        <f>IF(AF136="","",IF(AH136="",IFERROR(VLOOKUP(AG136,Довідник_мінералів!$A:$B,2,0),"-"),ROUND(IFERROR(VLOOKUP(AG136,Довідник_мінералів!$A:$B,2,0),0)*AH136/100+IFERROR(VLOOKUP(AI136,Довідник_мінералів!$A:$B,2,0),0)*AJ136/100,0)))</f>
        <v/>
      </c>
      <c r="AQ136">
        <f>IF(AL136="","",IF(AN136="",IFERROR(VLOOKUP(AM136,Довідник_мінералів!$A:$B,2,0),"-"),ROUND(IFERROR(VLOOKUP(AM136,Довідник_мінералів!$A:$B,2,0),0)*AN136/100+IFERROR(VLOOKUP(AO136,Довідник_мінералів!$A:$B,2,0),0)*AP136/100,0)))</f>
        <v/>
      </c>
      <c r="AU136">
        <f>IF(AR136="","",IFERROR(VLOOKUP(AS136,Довідник_мінералів!$A:$B,2,0),"-"))</f>
        <v/>
      </c>
      <c r="AY136">
        <f>IF(AV136="","",IFERROR(VLOOKUP(AW136,Довідник_мінералів!$A:$B,2,0),"-"))</f>
        <v/>
      </c>
      <c r="BB136">
        <f>IF(SE136="","",IFERROR(VLOOKUP(BA136,Довідник_мінералів!$A:$B,2,0),"-"))</f>
        <v/>
      </c>
    </row>
    <row r="137">
      <c r="O137">
        <f>IF(J137="","",ROUND(J137/(1-N137/100),1))</f>
        <v/>
      </c>
      <c r="P137">
        <f>IF(K137="","",ROUND(K137/(1-N137/100),1))</f>
        <v/>
      </c>
      <c r="Q137">
        <f>IF(L137="","",ROUND(L137/(1-N137/100),1))</f>
        <v/>
      </c>
      <c r="R137">
        <f>IF(M137="","",ROUND(M137/(1-N137/100),1))</f>
        <v/>
      </c>
      <c r="AK137">
        <f>IF(AF137="","",IF(AH137="",IFERROR(VLOOKUP(AG137,Довідник_мінералів!$A:$B,2,0),"-"),ROUND(IFERROR(VLOOKUP(AG137,Довідник_мінералів!$A:$B,2,0),0)*AH137/100+IFERROR(VLOOKUP(AI137,Довідник_мінералів!$A:$B,2,0),0)*AJ137/100,0)))</f>
        <v/>
      </c>
      <c r="AQ137">
        <f>IF(AL137="","",IF(AN137="",IFERROR(VLOOKUP(AM137,Довідник_мінералів!$A:$B,2,0),"-"),ROUND(IFERROR(VLOOKUP(AM137,Довідник_мінералів!$A:$B,2,0),0)*AN137/100+IFERROR(VLOOKUP(AO137,Довідник_мінералів!$A:$B,2,0),0)*AP137/100,0)))</f>
        <v/>
      </c>
      <c r="AU137">
        <f>IF(AR137="","",IFERROR(VLOOKUP(AS137,Довідник_мінералів!$A:$B,2,0),"-"))</f>
        <v/>
      </c>
      <c r="AY137">
        <f>IF(AV137="","",IFERROR(VLOOKUP(AW137,Довідник_мінералів!$A:$B,2,0),"-"))</f>
        <v/>
      </c>
      <c r="BB137">
        <f>IF(SE137="","",IFERROR(VLOOKUP(BA137,Довідник_мінералів!$A:$B,2,0),"-"))</f>
        <v/>
      </c>
    </row>
    <row r="138">
      <c r="A138" s="9" t="n"/>
      <c r="B138" s="9" t="n"/>
      <c r="C138" s="9" t="n"/>
      <c r="D138" s="9" t="n"/>
      <c r="E138" s="9" t="n"/>
      <c r="F138" s="9" t="n"/>
      <c r="G138" s="9" t="n"/>
      <c r="H138" s="9" t="n"/>
      <c r="I138" s="9" t="n"/>
      <c r="O138">
        <f>IF(J138="","",ROUND(J138/(1-N138/100),1))</f>
        <v/>
      </c>
      <c r="P138">
        <f>IF(K138="","",ROUND(K138/(1-N138/100),1))</f>
        <v/>
      </c>
      <c r="Q138">
        <f>IF(L138="","",ROUND(L138/(1-N138/100),1))</f>
        <v/>
      </c>
      <c r="R138">
        <f>IF(M138="","",ROUND(M138/(1-N138/100),1))</f>
        <v/>
      </c>
      <c r="AK138">
        <f>IF(AF138="","",IF(AH138="",IFERROR(VLOOKUP(AG138,Довідник_мінералів!$A:$B,2,0),"-"),ROUND(IFERROR(VLOOKUP(AG138,Довідник_мінералів!$A:$B,2,0),0)*AH138/100+IFERROR(VLOOKUP(AI138,Довідник_мінералів!$A:$B,2,0),0)*AJ138/100,0)))</f>
        <v/>
      </c>
      <c r="AQ138">
        <f>IF(AL138="","",IF(AN138="",IFERROR(VLOOKUP(AM138,Довідник_мінералів!$A:$B,2,0),"-"),ROUND(IFERROR(VLOOKUP(AM138,Довідник_мінералів!$A:$B,2,0),0)*AN138/100+IFERROR(VLOOKUP(AO138,Довідник_мінералів!$A:$B,2,0),0)*AP138/100,0)))</f>
        <v/>
      </c>
      <c r="AU138">
        <f>IF(AR138="","",IFERROR(VLOOKUP(AS138,Довідник_мінералів!$A:$B,2,0),"-"))</f>
        <v/>
      </c>
      <c r="AY138">
        <f>IF(AV138="","",IFERROR(VLOOKUP(AW138,Довідник_мінералів!$A:$B,2,0),"-"))</f>
        <v/>
      </c>
      <c r="BB138">
        <f>IF(SE138="","",IFERROR(VLOOKUP(BA138,Довідник_мінералів!$A:$B,2,0),"-"))</f>
        <v/>
      </c>
    </row>
    <row r="139">
      <c r="O139">
        <f>IF(J139="","",ROUND(J139/(1-N139/100),1))</f>
        <v/>
      </c>
      <c r="P139">
        <f>IF(K139="","",ROUND(K139/(1-N139/100),1))</f>
        <v/>
      </c>
      <c r="Q139">
        <f>IF(L139="","",ROUND(L139/(1-N139/100),1))</f>
        <v/>
      </c>
      <c r="R139">
        <f>IF(M139="","",ROUND(M139/(1-N139/100),1))</f>
        <v/>
      </c>
      <c r="AK139">
        <f>IF(AF139="","",IF(AH139="",IFERROR(VLOOKUP(AG139,Довідник_мінералів!$A:$B,2,0),"-"),ROUND(IFERROR(VLOOKUP(AG139,Довідник_мінералів!$A:$B,2,0),0)*AH139/100+IFERROR(VLOOKUP(AI139,Довідник_мінералів!$A:$B,2,0),0)*AJ139/100,0)))</f>
        <v/>
      </c>
      <c r="AQ139">
        <f>IF(AL139="","",IF(AN139="",IFERROR(VLOOKUP(AM139,Довідник_мінералів!$A:$B,2,0),"-"),ROUND(IFERROR(VLOOKUP(AM139,Довідник_мінералів!$A:$B,2,0),0)*AN139/100+IFERROR(VLOOKUP(AO139,Довідник_мінералів!$A:$B,2,0),0)*AP139/100,0)))</f>
        <v/>
      </c>
      <c r="AU139">
        <f>IF(AR139="","",IFERROR(VLOOKUP(AS139,Довідник_мінералів!$A:$B,2,0),"-"))</f>
        <v/>
      </c>
      <c r="AY139">
        <f>IF(AV139="","",IFERROR(VLOOKUP(AW139,Довідник_мінералів!$A:$B,2,0),"-"))</f>
        <v/>
      </c>
      <c r="BB139">
        <f>IF(SE139="","",IFERROR(VLOOKUP(BA139,Довідник_мінералів!$A:$B,2,0),"-"))</f>
        <v/>
      </c>
    </row>
    <row r="140">
      <c r="A140" s="9" t="n"/>
      <c r="B140" s="9" t="n"/>
      <c r="C140" s="9" t="n"/>
      <c r="D140" s="9" t="n"/>
      <c r="E140" s="9" t="n"/>
      <c r="F140" s="9" t="n"/>
      <c r="G140" s="9" t="n"/>
      <c r="H140" s="9" t="n"/>
      <c r="I140" s="9" t="n"/>
      <c r="O140">
        <f>IF(J140="","",ROUND(J140/(1-N140/100),1))</f>
        <v/>
      </c>
      <c r="P140">
        <f>IF(K140="","",ROUND(K140/(1-N140/100),1))</f>
        <v/>
      </c>
      <c r="Q140">
        <f>IF(L140="","",ROUND(L140/(1-N140/100),1))</f>
        <v/>
      </c>
      <c r="R140">
        <f>IF(M140="","",ROUND(M140/(1-N140/100),1))</f>
        <v/>
      </c>
      <c r="AK140">
        <f>IF(AF140="","",IF(AH140="",IFERROR(VLOOKUP(AG140,Довідник_мінералів!$A:$B,2,0),"-"),ROUND(IFERROR(VLOOKUP(AG140,Довідник_мінералів!$A:$B,2,0),0)*AH140/100+IFERROR(VLOOKUP(AI140,Довідник_мінералів!$A:$B,2,0),0)*AJ140/100,0)))</f>
        <v/>
      </c>
      <c r="AQ140">
        <f>IF(AL140="","",IF(AN140="",IFERROR(VLOOKUP(AM140,Довідник_мінералів!$A:$B,2,0),"-"),ROUND(IFERROR(VLOOKUP(AM140,Довідник_мінералів!$A:$B,2,0),0)*AN140/100+IFERROR(VLOOKUP(AO140,Довідник_мінералів!$A:$B,2,0),0)*AP140/100,0)))</f>
        <v/>
      </c>
      <c r="AU140">
        <f>IF(AR140="","",IFERROR(VLOOKUP(AS140,Довідник_мінералів!$A:$B,2,0),"-"))</f>
        <v/>
      </c>
      <c r="AY140">
        <f>IF(AV140="","",IFERROR(VLOOKUP(AW140,Довідник_мінералів!$A:$B,2,0),"-"))</f>
        <v/>
      </c>
      <c r="BB140">
        <f>IF(SE140="","",IFERROR(VLOOKUP(BA140,Довідник_мінералів!$A:$B,2,0),"-"))</f>
        <v/>
      </c>
    </row>
    <row r="141">
      <c r="O141">
        <f>IF(J141="","",ROUND(J141/(1-N141/100),1))</f>
        <v/>
      </c>
      <c r="P141">
        <f>IF(K141="","",ROUND(K141/(1-N141/100),1))</f>
        <v/>
      </c>
      <c r="Q141">
        <f>IF(L141="","",ROUND(L141/(1-N141/100),1))</f>
        <v/>
      </c>
      <c r="R141">
        <f>IF(M141="","",ROUND(M141/(1-N141/100),1))</f>
        <v/>
      </c>
      <c r="AK141">
        <f>IF(AF141="","",IF(AH141="",IFERROR(VLOOKUP(AG141,Довідник_мінералів!$A:$B,2,0),"-"),ROUND(IFERROR(VLOOKUP(AG141,Довідник_мінералів!$A:$B,2,0),0)*AH141/100+IFERROR(VLOOKUP(AI141,Довідник_мінералів!$A:$B,2,0),0)*AJ141/100,0)))</f>
        <v/>
      </c>
      <c r="AQ141">
        <f>IF(AL141="","",IF(AN141="",IFERROR(VLOOKUP(AM141,Довідник_мінералів!$A:$B,2,0),"-"),ROUND(IFERROR(VLOOKUP(AM141,Довідник_мінералів!$A:$B,2,0),0)*AN141/100+IFERROR(VLOOKUP(AO141,Довідник_мінералів!$A:$B,2,0),0)*AP141/100,0)))</f>
        <v/>
      </c>
      <c r="AU141">
        <f>IF(AR141="","",IFERROR(VLOOKUP(AS141,Довідник_мінералів!$A:$B,2,0),"-"))</f>
        <v/>
      </c>
      <c r="AY141">
        <f>IF(AV141="","",IFERROR(VLOOKUP(AW141,Довідник_мінералів!$A:$B,2,0),"-"))</f>
        <v/>
      </c>
      <c r="BB141">
        <f>IF(SE141="","",IFERROR(VLOOKUP(BA141,Довідник_мінералів!$A:$B,2,0),"-"))</f>
        <v/>
      </c>
    </row>
    <row r="142">
      <c r="A142" s="9" t="n"/>
      <c r="B142" s="9" t="n"/>
      <c r="C142" s="9" t="n"/>
      <c r="D142" s="9" t="n"/>
      <c r="E142" s="9" t="n"/>
      <c r="F142" s="9" t="n"/>
      <c r="G142" s="9" t="n"/>
      <c r="H142" s="9" t="n"/>
      <c r="I142" s="9" t="n"/>
      <c r="O142">
        <f>IF(J142="","",ROUND(J142/(1-N142/100),1))</f>
        <v/>
      </c>
      <c r="P142">
        <f>IF(K142="","",ROUND(K142/(1-N142/100),1))</f>
        <v/>
      </c>
      <c r="Q142">
        <f>IF(L142="","",ROUND(L142/(1-N142/100),1))</f>
        <v/>
      </c>
      <c r="R142">
        <f>IF(M142="","",ROUND(M142/(1-N142/100),1))</f>
        <v/>
      </c>
      <c r="AK142">
        <f>IF(AF142="","",IF(AH142="",IFERROR(VLOOKUP(AG142,Довідник_мінералів!$A:$B,2,0),"-"),ROUND(IFERROR(VLOOKUP(AG142,Довідник_мінералів!$A:$B,2,0),0)*AH142/100+IFERROR(VLOOKUP(AI142,Довідник_мінералів!$A:$B,2,0),0)*AJ142/100,0)))</f>
        <v/>
      </c>
      <c r="AQ142">
        <f>IF(AL142="","",IF(AN142="",IFERROR(VLOOKUP(AM142,Довідник_мінералів!$A:$B,2,0),"-"),ROUND(IFERROR(VLOOKUP(AM142,Довідник_мінералів!$A:$B,2,0),0)*AN142/100+IFERROR(VLOOKUP(AO142,Довідник_мінералів!$A:$B,2,0),0)*AP142/100,0)))</f>
        <v/>
      </c>
      <c r="AU142">
        <f>IF(AR142="","",IFERROR(VLOOKUP(AS142,Довідник_мінералів!$A:$B,2,0),"-"))</f>
        <v/>
      </c>
      <c r="AY142">
        <f>IF(AV142="","",IFERROR(VLOOKUP(AW142,Довідник_мінералів!$A:$B,2,0),"-"))</f>
        <v/>
      </c>
      <c r="BB142">
        <f>IF(SE142="","",IFERROR(VLOOKUP(BA142,Довідник_мінералів!$A:$B,2,0),"-"))</f>
        <v/>
      </c>
    </row>
    <row r="143">
      <c r="O143">
        <f>IF(J143="","",ROUND(J143/(1-N143/100),1))</f>
        <v/>
      </c>
      <c r="P143">
        <f>IF(K143="","",ROUND(K143/(1-N143/100),1))</f>
        <v/>
      </c>
      <c r="Q143">
        <f>IF(L143="","",ROUND(L143/(1-N143/100),1))</f>
        <v/>
      </c>
      <c r="R143">
        <f>IF(M143="","",ROUND(M143/(1-N143/100),1))</f>
        <v/>
      </c>
      <c r="AK143">
        <f>IF(AF143="","",IF(AH143="",IFERROR(VLOOKUP(AG143,Довідник_мінералів!$A:$B,2,0),"-"),ROUND(IFERROR(VLOOKUP(AG143,Довідник_мінералів!$A:$B,2,0),0)*AH143/100+IFERROR(VLOOKUP(AI143,Довідник_мінералів!$A:$B,2,0),0)*AJ143/100,0)))</f>
        <v/>
      </c>
      <c r="AQ143">
        <f>IF(AL143="","",IF(AN143="",IFERROR(VLOOKUP(AM143,Довідник_мінералів!$A:$B,2,0),"-"),ROUND(IFERROR(VLOOKUP(AM143,Довідник_мінералів!$A:$B,2,0),0)*AN143/100+IFERROR(VLOOKUP(AO143,Довідник_мінералів!$A:$B,2,0),0)*AP143/100,0)))</f>
        <v/>
      </c>
      <c r="AU143">
        <f>IF(AR143="","",IFERROR(VLOOKUP(AS143,Довідник_мінералів!$A:$B,2,0),"-"))</f>
        <v/>
      </c>
      <c r="AY143">
        <f>IF(AV143="","",IFERROR(VLOOKUP(AW143,Довідник_мінералів!$A:$B,2,0),"-"))</f>
        <v/>
      </c>
      <c r="BB143">
        <f>IF(SE143="","",IFERROR(VLOOKUP(BA143,Довідник_мінералів!$A:$B,2,0),"-"))</f>
        <v/>
      </c>
    </row>
    <row r="144">
      <c r="A144" s="9" t="n"/>
      <c r="B144" s="9" t="n"/>
      <c r="C144" s="9" t="n"/>
      <c r="D144" s="9" t="n"/>
      <c r="E144" s="9" t="n"/>
      <c r="F144" s="9" t="n"/>
      <c r="G144" s="9" t="n"/>
      <c r="H144" s="9" t="n"/>
      <c r="I144" s="9" t="n"/>
      <c r="O144">
        <f>IF(J144="","",ROUND(J144/(1-N144/100),1))</f>
        <v/>
      </c>
      <c r="P144">
        <f>IF(K144="","",ROUND(K144/(1-N144/100),1))</f>
        <v/>
      </c>
      <c r="Q144">
        <f>IF(L144="","",ROUND(L144/(1-N144/100),1))</f>
        <v/>
      </c>
      <c r="R144">
        <f>IF(M144="","",ROUND(M144/(1-N144/100),1))</f>
        <v/>
      </c>
      <c r="AK144">
        <f>IF(AF144="","",IF(AH144="",IFERROR(VLOOKUP(AG144,Довідник_мінералів!$A:$B,2,0),"-"),ROUND(IFERROR(VLOOKUP(AG144,Довідник_мінералів!$A:$B,2,0),0)*AH144/100+IFERROR(VLOOKUP(AI144,Довідник_мінералів!$A:$B,2,0),0)*AJ144/100,0)))</f>
        <v/>
      </c>
      <c r="AQ144">
        <f>IF(AL144="","",IF(AN144="",IFERROR(VLOOKUP(AM144,Довідник_мінералів!$A:$B,2,0),"-"),ROUND(IFERROR(VLOOKUP(AM144,Довідник_мінералів!$A:$B,2,0),0)*AN144/100+IFERROR(VLOOKUP(AO144,Довідник_мінералів!$A:$B,2,0),0)*AP144/100,0)))</f>
        <v/>
      </c>
      <c r="AU144">
        <f>IF(AR144="","",IFERROR(VLOOKUP(AS144,Довідник_мінералів!$A:$B,2,0),"-"))</f>
        <v/>
      </c>
      <c r="AY144">
        <f>IF(AV144="","",IFERROR(VLOOKUP(AW144,Довідник_мінералів!$A:$B,2,0),"-"))</f>
        <v/>
      </c>
      <c r="BB144">
        <f>IF(SE144="","",IFERROR(VLOOKUP(BA144,Довідник_мінералів!$A:$B,2,0),"-"))</f>
        <v/>
      </c>
    </row>
    <row r="145">
      <c r="O145">
        <f>IF(J145="","",ROUND(J145/(1-N145/100),1))</f>
        <v/>
      </c>
      <c r="P145">
        <f>IF(K145="","",ROUND(K145/(1-N145/100),1))</f>
        <v/>
      </c>
      <c r="Q145">
        <f>IF(L145="","",ROUND(L145/(1-N145/100),1))</f>
        <v/>
      </c>
      <c r="R145">
        <f>IF(M145="","",ROUND(M145/(1-N145/100),1))</f>
        <v/>
      </c>
      <c r="AK145">
        <f>IF(AF145="","",IF(AH145="",IFERROR(VLOOKUP(AG145,Довідник_мінералів!$A:$B,2,0),"-"),ROUND(IFERROR(VLOOKUP(AG145,Довідник_мінералів!$A:$B,2,0),0)*AH145/100+IFERROR(VLOOKUP(AI145,Довідник_мінералів!$A:$B,2,0),0)*AJ145/100,0)))</f>
        <v/>
      </c>
      <c r="AQ145">
        <f>IF(AL145="","",IF(AN145="",IFERROR(VLOOKUP(AM145,Довідник_мінералів!$A:$B,2,0),"-"),ROUND(IFERROR(VLOOKUP(AM145,Довідник_мінералів!$A:$B,2,0),0)*AN145/100+IFERROR(VLOOKUP(AO145,Довідник_мінералів!$A:$B,2,0),0)*AP145/100,0)))</f>
        <v/>
      </c>
      <c r="AU145">
        <f>IF(AR145="","",IFERROR(VLOOKUP(AS145,Довідник_мінералів!$A:$B,2,0),"-"))</f>
        <v/>
      </c>
      <c r="AY145">
        <f>IF(AV145="","",IFERROR(VLOOKUP(AW145,Довідник_мінералів!$A:$B,2,0),"-"))</f>
        <v/>
      </c>
      <c r="BB145">
        <f>IF(SE145="","",IFERROR(VLOOKUP(BA145,Довідник_мінералів!$A:$B,2,0),"-"))</f>
        <v/>
      </c>
    </row>
    <row r="146">
      <c r="A146" s="9" t="n"/>
      <c r="B146" s="9" t="n"/>
      <c r="C146" s="9" t="n"/>
      <c r="D146" s="9" t="n"/>
      <c r="E146" s="9" t="n"/>
      <c r="F146" s="9" t="n"/>
      <c r="G146" s="9" t="n"/>
      <c r="H146" s="9" t="n"/>
      <c r="I146" s="9" t="n"/>
      <c r="O146">
        <f>IF(J146="","",ROUND(J146/(1-N146/100),1))</f>
        <v/>
      </c>
      <c r="P146">
        <f>IF(K146="","",ROUND(K146/(1-N146/100),1))</f>
        <v/>
      </c>
      <c r="Q146">
        <f>IF(L146="","",ROUND(L146/(1-N146/100),1))</f>
        <v/>
      </c>
      <c r="R146">
        <f>IF(M146="","",ROUND(M146/(1-N146/100),1))</f>
        <v/>
      </c>
      <c r="AK146">
        <f>IF(AF146="","",IF(AH146="",IFERROR(VLOOKUP(AG146,Довідник_мінералів!$A:$B,2,0),"-"),ROUND(IFERROR(VLOOKUP(AG146,Довідник_мінералів!$A:$B,2,0),0)*AH146/100+IFERROR(VLOOKUP(AI146,Довідник_мінералів!$A:$B,2,0),0)*AJ146/100,0)))</f>
        <v/>
      </c>
      <c r="AQ146">
        <f>IF(AL146="","",IF(AN146="",IFERROR(VLOOKUP(AM146,Довідник_мінералів!$A:$B,2,0),"-"),ROUND(IFERROR(VLOOKUP(AM146,Довідник_мінералів!$A:$B,2,0),0)*AN146/100+IFERROR(VLOOKUP(AO146,Довідник_мінералів!$A:$B,2,0),0)*AP146/100,0)))</f>
        <v/>
      </c>
      <c r="AU146">
        <f>IF(AR146="","",IFERROR(VLOOKUP(AS146,Довідник_мінералів!$A:$B,2,0),"-"))</f>
        <v/>
      </c>
      <c r="AY146">
        <f>IF(AV146="","",IFERROR(VLOOKUP(AW146,Довідник_мінералів!$A:$B,2,0),"-"))</f>
        <v/>
      </c>
      <c r="BB146">
        <f>IF(SE146="","",IFERROR(VLOOKUP(BA146,Довідник_мінералів!$A:$B,2,0),"-"))</f>
        <v/>
      </c>
    </row>
    <row r="147">
      <c r="O147">
        <f>IF(J147="","",ROUND(J147/(1-N147/100),1))</f>
        <v/>
      </c>
      <c r="P147">
        <f>IF(K147="","",ROUND(K147/(1-N147/100),1))</f>
        <v/>
      </c>
      <c r="Q147">
        <f>IF(L147="","",ROUND(L147/(1-N147/100),1))</f>
        <v/>
      </c>
      <c r="R147">
        <f>IF(M147="","",ROUND(M147/(1-N147/100),1))</f>
        <v/>
      </c>
      <c r="AK147">
        <f>IF(AF147="","",IF(AH147="",IFERROR(VLOOKUP(AG147,Довідник_мінералів!$A:$B,2,0),"-"),ROUND(IFERROR(VLOOKUP(AG147,Довідник_мінералів!$A:$B,2,0),0)*AH147/100+IFERROR(VLOOKUP(AI147,Довідник_мінералів!$A:$B,2,0),0)*AJ147/100,0)))</f>
        <v/>
      </c>
      <c r="AQ147">
        <f>IF(AL147="","",IF(AN147="",IFERROR(VLOOKUP(AM147,Довідник_мінералів!$A:$B,2,0),"-"),ROUND(IFERROR(VLOOKUP(AM147,Довідник_мінералів!$A:$B,2,0),0)*AN147/100+IFERROR(VLOOKUP(AO147,Довідник_мінералів!$A:$B,2,0),0)*AP147/100,0)))</f>
        <v/>
      </c>
      <c r="AU147">
        <f>IF(AR147="","",IFERROR(VLOOKUP(AS147,Довідник_мінералів!$A:$B,2,0),"-"))</f>
        <v/>
      </c>
      <c r="AY147">
        <f>IF(AV147="","",IFERROR(VLOOKUP(AW147,Довідник_мінералів!$A:$B,2,0),"-"))</f>
        <v/>
      </c>
      <c r="BB147">
        <f>IF(SE147="","",IFERROR(VLOOKUP(BA147,Довідник_мінералів!$A:$B,2,0),"-"))</f>
        <v/>
      </c>
    </row>
    <row r="148">
      <c r="A148" s="9" t="n"/>
      <c r="B148" s="9" t="n"/>
      <c r="C148" s="9" t="n"/>
      <c r="D148" s="9" t="n"/>
      <c r="E148" s="9" t="n"/>
      <c r="F148" s="9" t="n"/>
      <c r="G148" s="9" t="n"/>
      <c r="H148" s="9" t="n"/>
      <c r="I148" s="9" t="n"/>
      <c r="O148">
        <f>IF(J148="","",ROUND(J148/(1-N148/100),1))</f>
        <v/>
      </c>
      <c r="P148">
        <f>IF(K148="","",ROUND(K148/(1-N148/100),1))</f>
        <v/>
      </c>
      <c r="Q148">
        <f>IF(L148="","",ROUND(L148/(1-N148/100),1))</f>
        <v/>
      </c>
      <c r="R148">
        <f>IF(M148="","",ROUND(M148/(1-N148/100),1))</f>
        <v/>
      </c>
      <c r="AK148">
        <f>IF(AF148="","",IF(AH148="",IFERROR(VLOOKUP(AG148,Довідник_мінералів!$A:$B,2,0),"-"),ROUND(IFERROR(VLOOKUP(AG148,Довідник_мінералів!$A:$B,2,0),0)*AH148/100+IFERROR(VLOOKUP(AI148,Довідник_мінералів!$A:$B,2,0),0)*AJ148/100,0)))</f>
        <v/>
      </c>
      <c r="AQ148">
        <f>IF(AL148="","",IF(AN148="",IFERROR(VLOOKUP(AM148,Довідник_мінералів!$A:$B,2,0),"-"),ROUND(IFERROR(VLOOKUP(AM148,Довідник_мінералів!$A:$B,2,0),0)*AN148/100+IFERROR(VLOOKUP(AO148,Довідник_мінералів!$A:$B,2,0),0)*AP148/100,0)))</f>
        <v/>
      </c>
      <c r="AU148">
        <f>IF(AR148="","",IFERROR(VLOOKUP(AS148,Довідник_мінералів!$A:$B,2,0),"-"))</f>
        <v/>
      </c>
      <c r="AY148">
        <f>IF(AV148="","",IFERROR(VLOOKUP(AW148,Довідник_мінералів!$A:$B,2,0),"-"))</f>
        <v/>
      </c>
      <c r="BB148">
        <f>IF(SE148="","",IFERROR(VLOOKUP(BA148,Довідник_мінералів!$A:$B,2,0),"-"))</f>
        <v/>
      </c>
    </row>
    <row r="149">
      <c r="O149">
        <f>IF(J149="","",ROUND(J149/(1-N149/100),1))</f>
        <v/>
      </c>
      <c r="P149">
        <f>IF(K149="","",ROUND(K149/(1-N149/100),1))</f>
        <v/>
      </c>
      <c r="Q149">
        <f>IF(L149="","",ROUND(L149/(1-N149/100),1))</f>
        <v/>
      </c>
      <c r="R149">
        <f>IF(M149="","",ROUND(M149/(1-N149/100),1))</f>
        <v/>
      </c>
      <c r="AK149">
        <f>IF(AF149="","",IF(AH149="",IFERROR(VLOOKUP(AG149,Довідник_мінералів!$A:$B,2,0),"-"),ROUND(IFERROR(VLOOKUP(AG149,Довідник_мінералів!$A:$B,2,0),0)*AH149/100+IFERROR(VLOOKUP(AI149,Довідник_мінералів!$A:$B,2,0),0)*AJ149/100,0)))</f>
        <v/>
      </c>
      <c r="AQ149">
        <f>IF(AL149="","",IF(AN149="",IFERROR(VLOOKUP(AM149,Довідник_мінералів!$A:$B,2,0),"-"),ROUND(IFERROR(VLOOKUP(AM149,Довідник_мінералів!$A:$B,2,0),0)*AN149/100+IFERROR(VLOOKUP(AO149,Довідник_мінералів!$A:$B,2,0),0)*AP149/100,0)))</f>
        <v/>
      </c>
      <c r="AU149">
        <f>IF(AR149="","",IFERROR(VLOOKUP(AS149,Довідник_мінералів!$A:$B,2,0),"-"))</f>
        <v/>
      </c>
      <c r="AY149">
        <f>IF(AV149="","",IFERROR(VLOOKUP(AW149,Довідник_мінералів!$A:$B,2,0),"-"))</f>
        <v/>
      </c>
      <c r="BB149">
        <f>IF(SE149="","",IFERROR(VLOOKUP(BA149,Довідник_мінералів!$A:$B,2,0),"-"))</f>
        <v/>
      </c>
    </row>
    <row r="150">
      <c r="A150" s="9" t="n"/>
      <c r="B150" s="9" t="n"/>
      <c r="C150" s="9" t="n"/>
      <c r="D150" s="9" t="n"/>
      <c r="E150" s="9" t="n"/>
      <c r="F150" s="9" t="n"/>
      <c r="G150" s="9" t="n"/>
      <c r="H150" s="9" t="n"/>
      <c r="I150" s="9" t="n"/>
      <c r="O150">
        <f>IF(J150="","",ROUND(J150/(1-N150/100),1))</f>
        <v/>
      </c>
      <c r="P150">
        <f>IF(K150="","",ROUND(K150/(1-N150/100),1))</f>
        <v/>
      </c>
      <c r="Q150">
        <f>IF(L150="","",ROUND(L150/(1-N150/100),1))</f>
        <v/>
      </c>
      <c r="R150">
        <f>IF(M150="","",ROUND(M150/(1-N150/100),1))</f>
        <v/>
      </c>
      <c r="AK150">
        <f>IF(AF150="","",IF(AH150="",IFERROR(VLOOKUP(AG150,Довідник_мінералів!$A:$B,2,0),"-"),ROUND(IFERROR(VLOOKUP(AG150,Довідник_мінералів!$A:$B,2,0),0)*AH150/100+IFERROR(VLOOKUP(AI150,Довідник_мінералів!$A:$B,2,0),0)*AJ150/100,0)))</f>
        <v/>
      </c>
      <c r="AQ150">
        <f>IF(AL150="","",IF(AN150="",IFERROR(VLOOKUP(AM150,Довідник_мінералів!$A:$B,2,0),"-"),ROUND(IFERROR(VLOOKUP(AM150,Довідник_мінералів!$A:$B,2,0),0)*AN150/100+IFERROR(VLOOKUP(AO150,Довідник_мінералів!$A:$B,2,0),0)*AP150/100,0)))</f>
        <v/>
      </c>
      <c r="AU150">
        <f>IF(AR150="","",IFERROR(VLOOKUP(AS150,Довідник_мінералів!$A:$B,2,0),"-"))</f>
        <v/>
      </c>
      <c r="AY150">
        <f>IF(AV150="","",IFERROR(VLOOKUP(AW150,Довідник_мінералів!$A:$B,2,0),"-"))</f>
        <v/>
      </c>
      <c r="BB150">
        <f>IF(SE150="","",IFERROR(VLOOKUP(BA150,Довідник_мінералів!$A:$B,2,0),"-"))</f>
        <v/>
      </c>
    </row>
    <row r="151">
      <c r="O151">
        <f>IF(J151="","",ROUND(J151/(1-N151/100),1))</f>
        <v/>
      </c>
      <c r="P151">
        <f>IF(K151="","",ROUND(K151/(1-N151/100),1))</f>
        <v/>
      </c>
      <c r="Q151">
        <f>IF(L151="","",ROUND(L151/(1-N151/100),1))</f>
        <v/>
      </c>
      <c r="R151">
        <f>IF(M151="","",ROUND(M151/(1-N151/100),1))</f>
        <v/>
      </c>
      <c r="AK151">
        <f>IF(AF151="","",IF(AH151="",IFERROR(VLOOKUP(AG151,Довідник_мінералів!$A:$B,2,0),"-"),ROUND(IFERROR(VLOOKUP(AG151,Довідник_мінералів!$A:$B,2,0),0)*AH151/100+IFERROR(VLOOKUP(AI151,Довідник_мінералів!$A:$B,2,0),0)*AJ151/100,0)))</f>
        <v/>
      </c>
      <c r="AQ151">
        <f>IF(AL151="","",IF(AN151="",IFERROR(VLOOKUP(AM151,Довідник_мінералів!$A:$B,2,0),"-"),ROUND(IFERROR(VLOOKUP(AM151,Довідник_мінералів!$A:$B,2,0),0)*AN151/100+IFERROR(VLOOKUP(AO151,Довідник_мінералів!$A:$B,2,0),0)*AP151/100,0)))</f>
        <v/>
      </c>
      <c r="AU151">
        <f>IF(AR151="","",IFERROR(VLOOKUP(AS151,Довідник_мінералів!$A:$B,2,0),"-"))</f>
        <v/>
      </c>
      <c r="AY151">
        <f>IF(AV151="","",IFERROR(VLOOKUP(AW151,Довідник_мінералів!$A:$B,2,0),"-"))</f>
        <v/>
      </c>
      <c r="BB151">
        <f>IF(SE151="","",IFERROR(VLOOKUP(BA151,Довідник_мінералів!$A:$B,2,0),"-"))</f>
        <v/>
      </c>
    </row>
    <row r="152">
      <c r="A152" s="9" t="n"/>
      <c r="B152" s="9" t="n"/>
      <c r="C152" s="9" t="n"/>
      <c r="D152" s="9" t="n"/>
      <c r="E152" s="9" t="n"/>
      <c r="F152" s="9" t="n"/>
      <c r="G152" s="9" t="n"/>
      <c r="H152" s="9" t="n"/>
      <c r="I152" s="9" t="n"/>
      <c r="O152">
        <f>IF(J152="","",ROUND(J152/(1-N152/100),1))</f>
        <v/>
      </c>
      <c r="P152">
        <f>IF(K152="","",ROUND(K152/(1-N152/100),1))</f>
        <v/>
      </c>
      <c r="Q152">
        <f>IF(L152="","",ROUND(L152/(1-N152/100),1))</f>
        <v/>
      </c>
      <c r="R152">
        <f>IF(M152="","",ROUND(M152/(1-N152/100),1))</f>
        <v/>
      </c>
      <c r="AK152">
        <f>IF(AF152="","",IF(AH152="",IFERROR(VLOOKUP(AG152,Довідник_мінералів!$A:$B,2,0),"-"),ROUND(IFERROR(VLOOKUP(AG152,Довідник_мінералів!$A:$B,2,0),0)*AH152/100+IFERROR(VLOOKUP(AI152,Довідник_мінералів!$A:$B,2,0),0)*AJ152/100,0)))</f>
        <v/>
      </c>
      <c r="AQ152">
        <f>IF(AL152="","",IF(AN152="",IFERROR(VLOOKUP(AM152,Довідник_мінералів!$A:$B,2,0),"-"),ROUND(IFERROR(VLOOKUP(AM152,Довідник_мінералів!$A:$B,2,0),0)*AN152/100+IFERROR(VLOOKUP(AO152,Довідник_мінералів!$A:$B,2,0),0)*AP152/100,0)))</f>
        <v/>
      </c>
      <c r="AU152">
        <f>IF(AR152="","",IFERROR(VLOOKUP(AS152,Довідник_мінералів!$A:$B,2,0),"-"))</f>
        <v/>
      </c>
      <c r="AY152">
        <f>IF(AV152="","",IFERROR(VLOOKUP(AW152,Довідник_мінералів!$A:$B,2,0),"-"))</f>
        <v/>
      </c>
      <c r="BB152">
        <f>IF(SE152="","",IFERROR(VLOOKUP(BA152,Довідник_мінералів!$A:$B,2,0),"-"))</f>
        <v/>
      </c>
    </row>
    <row r="153">
      <c r="O153">
        <f>IF(J153="","",ROUND(J153/(1-N153/100),1))</f>
        <v/>
      </c>
      <c r="P153">
        <f>IF(K153="","",ROUND(K153/(1-N153/100),1))</f>
        <v/>
      </c>
      <c r="Q153">
        <f>IF(L153="","",ROUND(L153/(1-N153/100),1))</f>
        <v/>
      </c>
      <c r="R153">
        <f>IF(M153="","",ROUND(M153/(1-N153/100),1))</f>
        <v/>
      </c>
      <c r="AK153">
        <f>IF(AF153="","",IF(AH153="",IFERROR(VLOOKUP(AG153,Довідник_мінералів!$A:$B,2,0),"-"),ROUND(IFERROR(VLOOKUP(AG153,Довідник_мінералів!$A:$B,2,0),0)*AH153/100+IFERROR(VLOOKUP(AI153,Довідник_мінералів!$A:$B,2,0),0)*AJ153/100,0)))</f>
        <v/>
      </c>
      <c r="AQ153">
        <f>IF(AL153="","",IF(AN153="",IFERROR(VLOOKUP(AM153,Довідник_мінералів!$A:$B,2,0),"-"),ROUND(IFERROR(VLOOKUP(AM153,Довідник_мінералів!$A:$B,2,0),0)*AN153/100+IFERROR(VLOOKUP(AO153,Довідник_мінералів!$A:$B,2,0),0)*AP153/100,0)))</f>
        <v/>
      </c>
      <c r="AU153">
        <f>IF(AR153="","",IFERROR(VLOOKUP(AS153,Довідник_мінералів!$A:$B,2,0),"-"))</f>
        <v/>
      </c>
      <c r="AY153">
        <f>IF(AV153="","",IFERROR(VLOOKUP(AW153,Довідник_мінералів!$A:$B,2,0),"-"))</f>
        <v/>
      </c>
      <c r="BB153">
        <f>IF(SE153="","",IFERROR(VLOOKUP(BA153,Довідник_мінералів!$A:$B,2,0),"-"))</f>
        <v/>
      </c>
    </row>
    <row r="154">
      <c r="A154" s="9" t="n"/>
      <c r="B154" s="9" t="n"/>
      <c r="C154" s="9" t="n"/>
      <c r="D154" s="9" t="n"/>
      <c r="E154" s="9" t="n"/>
      <c r="F154" s="9" t="n"/>
      <c r="G154" s="9" t="n"/>
      <c r="H154" s="9" t="n"/>
      <c r="I154" s="9" t="n"/>
      <c r="O154">
        <f>IF(J154="","",ROUND(J154/(1-N154/100),1))</f>
        <v/>
      </c>
      <c r="P154">
        <f>IF(K154="","",ROUND(K154/(1-N154/100),1))</f>
        <v/>
      </c>
      <c r="Q154">
        <f>IF(L154="","",ROUND(L154/(1-N154/100),1))</f>
        <v/>
      </c>
      <c r="R154">
        <f>IF(M154="","",ROUND(M154/(1-N154/100),1))</f>
        <v/>
      </c>
      <c r="AK154">
        <f>IF(AF154="","",IF(AH154="",IFERROR(VLOOKUP(AG154,Довідник_мінералів!$A:$B,2,0),"-"),ROUND(IFERROR(VLOOKUP(AG154,Довідник_мінералів!$A:$B,2,0),0)*AH154/100+IFERROR(VLOOKUP(AI154,Довідник_мінералів!$A:$B,2,0),0)*AJ154/100,0)))</f>
        <v/>
      </c>
      <c r="AQ154">
        <f>IF(AL154="","",IF(AN154="",IFERROR(VLOOKUP(AM154,Довідник_мінералів!$A:$B,2,0),"-"),ROUND(IFERROR(VLOOKUP(AM154,Довідник_мінералів!$A:$B,2,0),0)*AN154/100+IFERROR(VLOOKUP(AO154,Довідник_мінералів!$A:$B,2,0),0)*AP154/100,0)))</f>
        <v/>
      </c>
      <c r="AU154">
        <f>IF(AR154="","",IFERROR(VLOOKUP(AS154,Довідник_мінералів!$A:$B,2,0),"-"))</f>
        <v/>
      </c>
      <c r="AY154">
        <f>IF(AV154="","",IFERROR(VLOOKUP(AW154,Довідник_мінералів!$A:$B,2,0),"-"))</f>
        <v/>
      </c>
      <c r="BB154">
        <f>IF(SE154="","",IFERROR(VLOOKUP(BA154,Довідник_мінералів!$A:$B,2,0),"-"))</f>
        <v/>
      </c>
    </row>
    <row r="155">
      <c r="O155">
        <f>IF(J155="","",ROUND(J155/(1-N155/100),1))</f>
        <v/>
      </c>
      <c r="P155">
        <f>IF(K155="","",ROUND(K155/(1-N155/100),1))</f>
        <v/>
      </c>
      <c r="Q155">
        <f>IF(L155="","",ROUND(L155/(1-N155/100),1))</f>
        <v/>
      </c>
      <c r="R155">
        <f>IF(M155="","",ROUND(M155/(1-N155/100),1))</f>
        <v/>
      </c>
      <c r="AK155">
        <f>IF(AF155="","",IF(AH155="",IFERROR(VLOOKUP(AG155,Довідник_мінералів!$A:$B,2,0),"-"),ROUND(IFERROR(VLOOKUP(AG155,Довідник_мінералів!$A:$B,2,0),0)*AH155/100+IFERROR(VLOOKUP(AI155,Довідник_мінералів!$A:$B,2,0),0)*AJ155/100,0)))</f>
        <v/>
      </c>
      <c r="AQ155">
        <f>IF(AL155="","",IF(AN155="",IFERROR(VLOOKUP(AM155,Довідник_мінералів!$A:$B,2,0),"-"),ROUND(IFERROR(VLOOKUP(AM155,Довідник_мінералів!$A:$B,2,0),0)*AN155/100+IFERROR(VLOOKUP(AO155,Довідник_мінералів!$A:$B,2,0),0)*AP155/100,0)))</f>
        <v/>
      </c>
      <c r="AU155">
        <f>IF(AR155="","",IFERROR(VLOOKUP(AS155,Довідник_мінералів!$A:$B,2,0),"-"))</f>
        <v/>
      </c>
      <c r="AY155">
        <f>IF(AV155="","",IFERROR(VLOOKUP(AW155,Довідник_мінералів!$A:$B,2,0),"-"))</f>
        <v/>
      </c>
      <c r="BB155">
        <f>IF(SE155="","",IFERROR(VLOOKUP(BA155,Довідник_мінералів!$A:$B,2,0),"-"))</f>
        <v/>
      </c>
    </row>
    <row r="156">
      <c r="A156" s="9" t="n"/>
      <c r="B156" s="9" t="n"/>
      <c r="C156" s="9" t="n"/>
      <c r="D156" s="9" t="n"/>
      <c r="E156" s="9" t="n"/>
      <c r="F156" s="9" t="n"/>
      <c r="G156" s="9" t="n"/>
      <c r="H156" s="9" t="n"/>
      <c r="I156" s="9" t="n"/>
      <c r="O156">
        <f>IF(J156="","",ROUND(J156/(1-N156/100),1))</f>
        <v/>
      </c>
      <c r="P156">
        <f>IF(K156="","",ROUND(K156/(1-N156/100),1))</f>
        <v/>
      </c>
      <c r="Q156">
        <f>IF(L156="","",ROUND(L156/(1-N156/100),1))</f>
        <v/>
      </c>
      <c r="R156">
        <f>IF(M156="","",ROUND(M156/(1-N156/100),1))</f>
        <v/>
      </c>
      <c r="AK156">
        <f>IF(AF156="","",IF(AH156="",IFERROR(VLOOKUP(AG156,Довідник_мінералів!$A:$B,2,0),"-"),ROUND(IFERROR(VLOOKUP(AG156,Довідник_мінералів!$A:$B,2,0),0)*AH156/100+IFERROR(VLOOKUP(AI156,Довідник_мінералів!$A:$B,2,0),0)*AJ156/100,0)))</f>
        <v/>
      </c>
      <c r="AQ156">
        <f>IF(AL156="","",IF(AN156="",IFERROR(VLOOKUP(AM156,Довідник_мінералів!$A:$B,2,0),"-"),ROUND(IFERROR(VLOOKUP(AM156,Довідник_мінералів!$A:$B,2,0),0)*AN156/100+IFERROR(VLOOKUP(AO156,Довідник_мінералів!$A:$B,2,0),0)*AP156/100,0)))</f>
        <v/>
      </c>
      <c r="AU156">
        <f>IF(AR156="","",IFERROR(VLOOKUP(AS156,Довідник_мінералів!$A:$B,2,0),"-"))</f>
        <v/>
      </c>
      <c r="AY156">
        <f>IF(AV156="","",IFERROR(VLOOKUP(AW156,Довідник_мінералів!$A:$B,2,0),"-"))</f>
        <v/>
      </c>
      <c r="BB156">
        <f>IF(SE156="","",IFERROR(VLOOKUP(BA156,Довідник_мінералів!$A:$B,2,0),"-"))</f>
        <v/>
      </c>
    </row>
    <row r="157">
      <c r="O157">
        <f>IF(J157="","",ROUND(J157/(1-N157/100),1))</f>
        <v/>
      </c>
      <c r="P157">
        <f>IF(K157="","",ROUND(K157/(1-N157/100),1))</f>
        <v/>
      </c>
      <c r="Q157">
        <f>IF(L157="","",ROUND(L157/(1-N157/100),1))</f>
        <v/>
      </c>
      <c r="R157">
        <f>IF(M157="","",ROUND(M157/(1-N157/100),1))</f>
        <v/>
      </c>
      <c r="AK157">
        <f>IF(AF157="","",IF(AH157="",IFERROR(VLOOKUP(AG157,Довідник_мінералів!$A:$B,2,0),"-"),ROUND(IFERROR(VLOOKUP(AG157,Довідник_мінералів!$A:$B,2,0),0)*AH157/100+IFERROR(VLOOKUP(AI157,Довідник_мінералів!$A:$B,2,0),0)*AJ157/100,0)))</f>
        <v/>
      </c>
      <c r="AQ157">
        <f>IF(AL157="","",IF(AN157="",IFERROR(VLOOKUP(AM157,Довідник_мінералів!$A:$B,2,0),"-"),ROUND(IFERROR(VLOOKUP(AM157,Довідник_мінералів!$A:$B,2,0),0)*AN157/100+IFERROR(VLOOKUP(AO157,Довідник_мінералів!$A:$B,2,0),0)*AP157/100,0)))</f>
        <v/>
      </c>
      <c r="AU157">
        <f>IF(AR157="","",IFERROR(VLOOKUP(AS157,Довідник_мінералів!$A:$B,2,0),"-"))</f>
        <v/>
      </c>
      <c r="AY157">
        <f>IF(AV157="","",IFERROR(VLOOKUP(AW157,Довідник_мінералів!$A:$B,2,0),"-"))</f>
        <v/>
      </c>
      <c r="BB157">
        <f>IF(SE157="","",IFERROR(VLOOKUP(BA157,Довідник_мінералів!$A:$B,2,0),"-"))</f>
        <v/>
      </c>
    </row>
    <row r="158">
      <c r="A158" s="9" t="n"/>
      <c r="B158" s="9" t="n"/>
      <c r="C158" s="9" t="n"/>
      <c r="D158" s="9" t="n"/>
      <c r="E158" s="9" t="n"/>
      <c r="F158" s="9" t="n"/>
      <c r="G158" s="9" t="n"/>
      <c r="H158" s="9" t="n"/>
      <c r="I158" s="9" t="n"/>
      <c r="O158">
        <f>IF(J158="","",ROUND(J158/(1-N158/100),1))</f>
        <v/>
      </c>
      <c r="P158">
        <f>IF(K158="","",ROUND(K158/(1-N158/100),1))</f>
        <v/>
      </c>
      <c r="Q158">
        <f>IF(L158="","",ROUND(L158/(1-N158/100),1))</f>
        <v/>
      </c>
      <c r="R158">
        <f>IF(M158="","",ROUND(M158/(1-N158/100),1))</f>
        <v/>
      </c>
      <c r="AK158">
        <f>IF(AF158="","",IF(AH158="",IFERROR(VLOOKUP(AG158,Довідник_мінералів!$A:$B,2,0),"-"),ROUND(IFERROR(VLOOKUP(AG158,Довідник_мінералів!$A:$B,2,0),0)*AH158/100+IFERROR(VLOOKUP(AI158,Довідник_мінералів!$A:$B,2,0),0)*AJ158/100,0)))</f>
        <v/>
      </c>
      <c r="AQ158">
        <f>IF(AL158="","",IF(AN158="",IFERROR(VLOOKUP(AM158,Довідник_мінералів!$A:$B,2,0),"-"),ROUND(IFERROR(VLOOKUP(AM158,Довідник_мінералів!$A:$B,2,0),0)*AN158/100+IFERROR(VLOOKUP(AO158,Довідник_мінералів!$A:$B,2,0),0)*AP158/100,0)))</f>
        <v/>
      </c>
      <c r="AU158">
        <f>IF(AR158="","",IFERROR(VLOOKUP(AS158,Довідник_мінералів!$A:$B,2,0),"-"))</f>
        <v/>
      </c>
      <c r="AY158">
        <f>IF(AV158="","",IFERROR(VLOOKUP(AW158,Довідник_мінералів!$A:$B,2,0),"-"))</f>
        <v/>
      </c>
      <c r="BB158">
        <f>IF(SE158="","",IFERROR(VLOOKUP(BA158,Довідник_мінералів!$A:$B,2,0),"-"))</f>
        <v/>
      </c>
    </row>
    <row r="159">
      <c r="O159">
        <f>IF(J159="","",ROUND(J159/(1-N159/100),1))</f>
        <v/>
      </c>
      <c r="P159">
        <f>IF(K159="","",ROUND(K159/(1-N159/100),1))</f>
        <v/>
      </c>
      <c r="Q159">
        <f>IF(L159="","",ROUND(L159/(1-N159/100),1))</f>
        <v/>
      </c>
      <c r="R159">
        <f>IF(M159="","",ROUND(M159/(1-N159/100),1))</f>
        <v/>
      </c>
      <c r="AK159">
        <f>IF(AF159="","",IF(AH159="",IFERROR(VLOOKUP(AG159,Довідник_мінералів!$A:$B,2,0),"-"),ROUND(IFERROR(VLOOKUP(AG159,Довідник_мінералів!$A:$B,2,0),0)*AH159/100+IFERROR(VLOOKUP(AI159,Довідник_мінералів!$A:$B,2,0),0)*AJ159/100,0)))</f>
        <v/>
      </c>
      <c r="AQ159">
        <f>IF(AL159="","",IF(AN159="",IFERROR(VLOOKUP(AM159,Довідник_мінералів!$A:$B,2,0),"-"),ROUND(IFERROR(VLOOKUP(AM159,Довідник_мінералів!$A:$B,2,0),0)*AN159/100+IFERROR(VLOOKUP(AO159,Довідник_мінералів!$A:$B,2,0),0)*AP159/100,0)))</f>
        <v/>
      </c>
      <c r="AU159">
        <f>IF(AR159="","",IFERROR(VLOOKUP(AS159,Довідник_мінералів!$A:$B,2,0),"-"))</f>
        <v/>
      </c>
      <c r="AY159">
        <f>IF(AV159="","",IFERROR(VLOOKUP(AW159,Довідник_мінералів!$A:$B,2,0),"-"))</f>
        <v/>
      </c>
      <c r="BB159">
        <f>IF(SE159="","",IFERROR(VLOOKUP(BA159,Довідник_мінералів!$A:$B,2,0),"-"))</f>
        <v/>
      </c>
    </row>
    <row r="160">
      <c r="A160" s="9" t="n"/>
      <c r="B160" s="9" t="n"/>
      <c r="C160" s="9" t="n"/>
      <c r="D160" s="9" t="n"/>
      <c r="E160" s="9" t="n"/>
      <c r="F160" s="9" t="n"/>
      <c r="G160" s="9" t="n"/>
      <c r="H160" s="9" t="n"/>
      <c r="I160" s="9" t="n"/>
      <c r="O160">
        <f>IF(J160="","",ROUND(J160/(1-N160/100),1))</f>
        <v/>
      </c>
      <c r="P160">
        <f>IF(K160="","",ROUND(K160/(1-N160/100),1))</f>
        <v/>
      </c>
      <c r="Q160">
        <f>IF(L160="","",ROUND(L160/(1-N160/100),1))</f>
        <v/>
      </c>
      <c r="R160">
        <f>IF(M160="","",ROUND(M160/(1-N160/100),1))</f>
        <v/>
      </c>
      <c r="AK160">
        <f>IF(AF160="","",IF(AH160="",IFERROR(VLOOKUP(AG160,Довідник_мінералів!$A:$B,2,0),"-"),ROUND(IFERROR(VLOOKUP(AG160,Довідник_мінералів!$A:$B,2,0),0)*AH160/100+IFERROR(VLOOKUP(AI160,Довідник_мінералів!$A:$B,2,0),0)*AJ160/100,0)))</f>
        <v/>
      </c>
      <c r="AQ160">
        <f>IF(AL160="","",IF(AN160="",IFERROR(VLOOKUP(AM160,Довідник_мінералів!$A:$B,2,0),"-"),ROUND(IFERROR(VLOOKUP(AM160,Довідник_мінералів!$A:$B,2,0),0)*AN160/100+IFERROR(VLOOKUP(AO160,Довідник_мінералів!$A:$B,2,0),0)*AP160/100,0)))</f>
        <v/>
      </c>
      <c r="AU160">
        <f>IF(AR160="","",IFERROR(VLOOKUP(AS160,Довідник_мінералів!$A:$B,2,0),"-"))</f>
        <v/>
      </c>
      <c r="AY160">
        <f>IF(AV160="","",IFERROR(VLOOKUP(AW160,Довідник_мінералів!$A:$B,2,0),"-"))</f>
        <v/>
      </c>
      <c r="BB160">
        <f>IF(SE160="","",IFERROR(VLOOKUP(BA160,Довідник_мінералів!$A:$B,2,0),"-"))</f>
        <v/>
      </c>
    </row>
    <row r="161">
      <c r="O161">
        <f>IF(J161="","",ROUND(J161/(1-N161/100),1))</f>
        <v/>
      </c>
      <c r="P161">
        <f>IF(K161="","",ROUND(K161/(1-N161/100),1))</f>
        <v/>
      </c>
      <c r="Q161">
        <f>IF(L161="","",ROUND(L161/(1-N161/100),1))</f>
        <v/>
      </c>
      <c r="R161">
        <f>IF(M161="","",ROUND(M161/(1-N161/100),1))</f>
        <v/>
      </c>
      <c r="AK161">
        <f>IF(AF161="","",IF(AH161="",IFERROR(VLOOKUP(AG161,Довідник_мінералів!$A:$B,2,0),"-"),ROUND(IFERROR(VLOOKUP(AG161,Довідник_мінералів!$A:$B,2,0),0)*AH161/100+IFERROR(VLOOKUP(AI161,Довідник_мінералів!$A:$B,2,0),0)*AJ161/100,0)))</f>
        <v/>
      </c>
      <c r="AQ161">
        <f>IF(AL161="","",IF(AN161="",IFERROR(VLOOKUP(AM161,Довідник_мінералів!$A:$B,2,0),"-"),ROUND(IFERROR(VLOOKUP(AM161,Довідник_мінералів!$A:$B,2,0),0)*AN161/100+IFERROR(VLOOKUP(AO161,Довідник_мінералів!$A:$B,2,0),0)*AP161/100,0)))</f>
        <v/>
      </c>
      <c r="AU161">
        <f>IF(AR161="","",IFERROR(VLOOKUP(AS161,Довідник_мінералів!$A:$B,2,0),"-"))</f>
        <v/>
      </c>
      <c r="AY161">
        <f>IF(AV161="","",IFERROR(VLOOKUP(AW161,Довідник_мінералів!$A:$B,2,0),"-"))</f>
        <v/>
      </c>
      <c r="BB161">
        <f>IF(SE161="","",IFERROR(VLOOKUP(BA161,Довідник_мінералів!$A:$B,2,0),"-"))</f>
        <v/>
      </c>
    </row>
    <row r="162">
      <c r="A162" s="9" t="n"/>
      <c r="B162" s="9" t="n"/>
      <c r="C162" s="9" t="n"/>
      <c r="D162" s="9" t="n"/>
      <c r="E162" s="9" t="n"/>
      <c r="F162" s="9" t="n"/>
      <c r="G162" s="9" t="n"/>
      <c r="H162" s="9" t="n"/>
      <c r="I162" s="9" t="n"/>
      <c r="O162">
        <f>IF(J162="","",ROUND(J162/(1-N162/100),1))</f>
        <v/>
      </c>
      <c r="P162">
        <f>IF(K162="","",ROUND(K162/(1-N162/100),1))</f>
        <v/>
      </c>
      <c r="Q162">
        <f>IF(L162="","",ROUND(L162/(1-N162/100),1))</f>
        <v/>
      </c>
      <c r="R162">
        <f>IF(M162="","",ROUND(M162/(1-N162/100),1))</f>
        <v/>
      </c>
      <c r="AK162">
        <f>IF(AF162="","",IF(AH162="",IFERROR(VLOOKUP(AG162,Довідник_мінералів!$A:$B,2,0),"-"),ROUND(IFERROR(VLOOKUP(AG162,Довідник_мінералів!$A:$B,2,0),0)*AH162/100+IFERROR(VLOOKUP(AI162,Довідник_мінералів!$A:$B,2,0),0)*AJ162/100,0)))</f>
        <v/>
      </c>
      <c r="AQ162">
        <f>IF(AL162="","",IF(AN162="",IFERROR(VLOOKUP(AM162,Довідник_мінералів!$A:$B,2,0),"-"),ROUND(IFERROR(VLOOKUP(AM162,Довідник_мінералів!$A:$B,2,0),0)*AN162/100+IFERROR(VLOOKUP(AO162,Довідник_мінералів!$A:$B,2,0),0)*AP162/100,0)))</f>
        <v/>
      </c>
      <c r="AU162">
        <f>IF(AR162="","",IFERROR(VLOOKUP(AS162,Довідник_мінералів!$A:$B,2,0),"-"))</f>
        <v/>
      </c>
      <c r="AY162">
        <f>IF(AV162="","",IFERROR(VLOOKUP(AW162,Довідник_мінералів!$A:$B,2,0),"-"))</f>
        <v/>
      </c>
      <c r="BB162">
        <f>IF(SE162="","",IFERROR(VLOOKUP(BA162,Довідник_мінералів!$A:$B,2,0),"-"))</f>
        <v/>
      </c>
    </row>
    <row r="163">
      <c r="O163">
        <f>IF(J163="","",ROUND(J163/(1-N163/100),1))</f>
        <v/>
      </c>
      <c r="P163">
        <f>IF(K163="","",ROUND(K163/(1-N163/100),1))</f>
        <v/>
      </c>
      <c r="Q163">
        <f>IF(L163="","",ROUND(L163/(1-N163/100),1))</f>
        <v/>
      </c>
      <c r="R163">
        <f>IF(M163="","",ROUND(M163/(1-N163/100),1))</f>
        <v/>
      </c>
      <c r="AK163">
        <f>IF(AF163="","",IF(AH163="",IFERROR(VLOOKUP(AG163,Довідник_мінералів!$A:$B,2,0),"-"),ROUND(IFERROR(VLOOKUP(AG163,Довідник_мінералів!$A:$B,2,0),0)*AH163/100+IFERROR(VLOOKUP(AI163,Довідник_мінералів!$A:$B,2,0),0)*AJ163/100,0)))</f>
        <v/>
      </c>
      <c r="AQ163">
        <f>IF(AL163="","",IF(AN163="",IFERROR(VLOOKUP(AM163,Довідник_мінералів!$A:$B,2,0),"-"),ROUND(IFERROR(VLOOKUP(AM163,Довідник_мінералів!$A:$B,2,0),0)*AN163/100+IFERROR(VLOOKUP(AO163,Довідник_мінералів!$A:$B,2,0),0)*AP163/100,0)))</f>
        <v/>
      </c>
      <c r="AU163">
        <f>IF(AR163="","",IFERROR(VLOOKUP(AS163,Довідник_мінералів!$A:$B,2,0),"-"))</f>
        <v/>
      </c>
      <c r="AY163">
        <f>IF(AV163="","",IFERROR(VLOOKUP(AW163,Довідник_мінералів!$A:$B,2,0),"-"))</f>
        <v/>
      </c>
      <c r="BB163">
        <f>IF(SE163="","",IFERROR(VLOOKUP(BA163,Довідник_мінералів!$A:$B,2,0),"-"))</f>
        <v/>
      </c>
    </row>
    <row r="164">
      <c r="A164" s="9" t="n"/>
      <c r="B164" s="9" t="n"/>
      <c r="C164" s="9" t="n"/>
      <c r="D164" s="9" t="n"/>
      <c r="E164" s="9" t="n"/>
      <c r="F164" s="9" t="n"/>
      <c r="G164" s="9" t="n"/>
      <c r="H164" s="9" t="n"/>
      <c r="I164" s="9" t="n"/>
      <c r="O164">
        <f>IF(J164="","",ROUND(J164/(1-N164/100),1))</f>
        <v/>
      </c>
      <c r="P164">
        <f>IF(K164="","",ROUND(K164/(1-N164/100),1))</f>
        <v/>
      </c>
      <c r="Q164">
        <f>IF(L164="","",ROUND(L164/(1-N164/100),1))</f>
        <v/>
      </c>
      <c r="R164">
        <f>IF(M164="","",ROUND(M164/(1-N164/100),1))</f>
        <v/>
      </c>
      <c r="AK164">
        <f>IF(AF164="","",IF(AH164="",IFERROR(VLOOKUP(AG164,Довідник_мінералів!$A:$B,2,0),"-"),ROUND(IFERROR(VLOOKUP(AG164,Довідник_мінералів!$A:$B,2,0),0)*AH164/100+IFERROR(VLOOKUP(AI164,Довідник_мінералів!$A:$B,2,0),0)*AJ164/100,0)))</f>
        <v/>
      </c>
      <c r="AQ164">
        <f>IF(AL164="","",IF(AN164="",IFERROR(VLOOKUP(AM164,Довідник_мінералів!$A:$B,2,0),"-"),ROUND(IFERROR(VLOOKUP(AM164,Довідник_мінералів!$A:$B,2,0),0)*AN164/100+IFERROR(VLOOKUP(AO164,Довідник_мінералів!$A:$B,2,0),0)*AP164/100,0)))</f>
        <v/>
      </c>
      <c r="AU164">
        <f>IF(AR164="","",IFERROR(VLOOKUP(AS164,Довідник_мінералів!$A:$B,2,0),"-"))</f>
        <v/>
      </c>
      <c r="AY164">
        <f>IF(AV164="","",IFERROR(VLOOKUP(AW164,Довідник_мінералів!$A:$B,2,0),"-"))</f>
        <v/>
      </c>
      <c r="BB164">
        <f>IF(SE164="","",IFERROR(VLOOKUP(BA164,Довідник_мінералів!$A:$B,2,0),"-"))</f>
        <v/>
      </c>
    </row>
    <row r="165">
      <c r="O165">
        <f>IF(J165="","",ROUND(J165/(1-N165/100),1))</f>
        <v/>
      </c>
      <c r="P165">
        <f>IF(K165="","",ROUND(K165/(1-N165/100),1))</f>
        <v/>
      </c>
      <c r="Q165">
        <f>IF(L165="","",ROUND(L165/(1-N165/100),1))</f>
        <v/>
      </c>
      <c r="R165">
        <f>IF(M165="","",ROUND(M165/(1-N165/100),1))</f>
        <v/>
      </c>
      <c r="AK165">
        <f>IF(AF165="","",IF(AH165="",IFERROR(VLOOKUP(AG165,Довідник_мінералів!$A:$B,2,0),"-"),ROUND(IFERROR(VLOOKUP(AG165,Довідник_мінералів!$A:$B,2,0),0)*AH165/100+IFERROR(VLOOKUP(AI165,Довідник_мінералів!$A:$B,2,0),0)*AJ165/100,0)))</f>
        <v/>
      </c>
      <c r="AQ165">
        <f>IF(AL165="","",IF(AN165="",IFERROR(VLOOKUP(AM165,Довідник_мінералів!$A:$B,2,0),"-"),ROUND(IFERROR(VLOOKUP(AM165,Довідник_мінералів!$A:$B,2,0),0)*AN165/100+IFERROR(VLOOKUP(AO165,Довідник_мінералів!$A:$B,2,0),0)*AP165/100,0)))</f>
        <v/>
      </c>
      <c r="AU165">
        <f>IF(AR165="","",IFERROR(VLOOKUP(AS165,Довідник_мінералів!$A:$B,2,0),"-"))</f>
        <v/>
      </c>
      <c r="AY165">
        <f>IF(AV165="","",IFERROR(VLOOKUP(AW165,Довідник_мінералів!$A:$B,2,0),"-"))</f>
        <v/>
      </c>
      <c r="BB165">
        <f>IF(SE165="","",IFERROR(VLOOKUP(BA165,Довідник_мінералів!$A:$B,2,0),"-"))</f>
        <v/>
      </c>
    </row>
    <row r="166">
      <c r="A166" s="9" t="n"/>
      <c r="B166" s="9" t="n"/>
      <c r="C166" s="9" t="n"/>
      <c r="D166" s="9" t="n"/>
      <c r="E166" s="9" t="n"/>
      <c r="F166" s="9" t="n"/>
      <c r="G166" s="9" t="n"/>
      <c r="H166" s="9" t="n"/>
      <c r="I166" s="9" t="n"/>
      <c r="O166">
        <f>IF(J166="","",ROUND(J166/(1-N166/100),1))</f>
        <v/>
      </c>
      <c r="P166">
        <f>IF(K166="","",ROUND(K166/(1-N166/100),1))</f>
        <v/>
      </c>
      <c r="Q166">
        <f>IF(L166="","",ROUND(L166/(1-N166/100),1))</f>
        <v/>
      </c>
      <c r="R166">
        <f>IF(M166="","",ROUND(M166/(1-N166/100),1))</f>
        <v/>
      </c>
      <c r="AK166">
        <f>IF(AF166="","",IF(AH166="",IFERROR(VLOOKUP(AG166,Довідник_мінералів!$A:$B,2,0),"-"),ROUND(IFERROR(VLOOKUP(AG166,Довідник_мінералів!$A:$B,2,0),0)*AH166/100+IFERROR(VLOOKUP(AI166,Довідник_мінералів!$A:$B,2,0),0)*AJ166/100,0)))</f>
        <v/>
      </c>
      <c r="AQ166">
        <f>IF(AL166="","",IF(AN166="",IFERROR(VLOOKUP(AM166,Довідник_мінералів!$A:$B,2,0),"-"),ROUND(IFERROR(VLOOKUP(AM166,Довідник_мінералів!$A:$B,2,0),0)*AN166/100+IFERROR(VLOOKUP(AO166,Довідник_мінералів!$A:$B,2,0),0)*AP166/100,0)))</f>
        <v/>
      </c>
      <c r="AU166">
        <f>IF(AR166="","",IFERROR(VLOOKUP(AS166,Довідник_мінералів!$A:$B,2,0),"-"))</f>
        <v/>
      </c>
      <c r="AY166">
        <f>IF(AV166="","",IFERROR(VLOOKUP(AW166,Довідник_мінералів!$A:$B,2,0),"-"))</f>
        <v/>
      </c>
      <c r="BB166">
        <f>IF(SE166="","",IFERROR(VLOOKUP(BA166,Довідник_мінералів!$A:$B,2,0),"-"))</f>
        <v/>
      </c>
    </row>
    <row r="167">
      <c r="O167">
        <f>IF(J167="","",ROUND(J167/(1-N167/100),1))</f>
        <v/>
      </c>
      <c r="P167">
        <f>IF(K167="","",ROUND(K167/(1-N167/100),1))</f>
        <v/>
      </c>
      <c r="Q167">
        <f>IF(L167="","",ROUND(L167/(1-N167/100),1))</f>
        <v/>
      </c>
      <c r="R167">
        <f>IF(M167="","",ROUND(M167/(1-N167/100),1))</f>
        <v/>
      </c>
      <c r="AK167">
        <f>IF(AF167="","",IF(AH167="",IFERROR(VLOOKUP(AG167,Довідник_мінералів!$A:$B,2,0),"-"),ROUND(IFERROR(VLOOKUP(AG167,Довідник_мінералів!$A:$B,2,0),0)*AH167/100+IFERROR(VLOOKUP(AI167,Довідник_мінералів!$A:$B,2,0),0)*AJ167/100,0)))</f>
        <v/>
      </c>
      <c r="AQ167">
        <f>IF(AL167="","",IF(AN167="",IFERROR(VLOOKUP(AM167,Довідник_мінералів!$A:$B,2,0),"-"),ROUND(IFERROR(VLOOKUP(AM167,Довідник_мінералів!$A:$B,2,0),0)*AN167/100+IFERROR(VLOOKUP(AO167,Довідник_мінералів!$A:$B,2,0),0)*AP167/100,0)))</f>
        <v/>
      </c>
      <c r="AU167">
        <f>IF(AR167="","",IFERROR(VLOOKUP(AS167,Довідник_мінералів!$A:$B,2,0),"-"))</f>
        <v/>
      </c>
      <c r="AY167">
        <f>IF(AV167="","",IFERROR(VLOOKUP(AW167,Довідник_мінералів!$A:$B,2,0),"-"))</f>
        <v/>
      </c>
      <c r="BB167">
        <f>IF(SE167="","",IFERROR(VLOOKUP(BA167,Довідник_мінералів!$A:$B,2,0),"-"))</f>
        <v/>
      </c>
    </row>
    <row r="168">
      <c r="A168" s="9" t="n"/>
      <c r="B168" s="9" t="n"/>
      <c r="C168" s="9" t="n"/>
      <c r="D168" s="9" t="n"/>
      <c r="E168" s="9" t="n"/>
      <c r="F168" s="9" t="n"/>
      <c r="G168" s="9" t="n"/>
      <c r="H168" s="9" t="n"/>
      <c r="I168" s="9" t="n"/>
      <c r="O168">
        <f>IF(J168="","",ROUND(J168/(1-N168/100),1))</f>
        <v/>
      </c>
      <c r="P168">
        <f>IF(K168="","",ROUND(K168/(1-N168/100),1))</f>
        <v/>
      </c>
      <c r="Q168">
        <f>IF(L168="","",ROUND(L168/(1-N168/100),1))</f>
        <v/>
      </c>
      <c r="R168">
        <f>IF(M168="","",ROUND(M168/(1-N168/100),1))</f>
        <v/>
      </c>
      <c r="AK168">
        <f>IF(AF168="","",IF(AH168="",IFERROR(VLOOKUP(AG168,Довідник_мінералів!$A:$B,2,0),"-"),ROUND(IFERROR(VLOOKUP(AG168,Довідник_мінералів!$A:$B,2,0),0)*AH168/100+IFERROR(VLOOKUP(AI168,Довідник_мінералів!$A:$B,2,0),0)*AJ168/100,0)))</f>
        <v/>
      </c>
      <c r="AQ168">
        <f>IF(AL168="","",IF(AN168="",IFERROR(VLOOKUP(AM168,Довідник_мінералів!$A:$B,2,0),"-"),ROUND(IFERROR(VLOOKUP(AM168,Довідник_мінералів!$A:$B,2,0),0)*AN168/100+IFERROR(VLOOKUP(AO168,Довідник_мінералів!$A:$B,2,0),0)*AP168/100,0)))</f>
        <v/>
      </c>
      <c r="AU168">
        <f>IF(AR168="","",IFERROR(VLOOKUP(AS168,Довідник_мінералів!$A:$B,2,0),"-"))</f>
        <v/>
      </c>
      <c r="AY168">
        <f>IF(AV168="","",IFERROR(VLOOKUP(AW168,Довідник_мінералів!$A:$B,2,0),"-"))</f>
        <v/>
      </c>
      <c r="BB168">
        <f>IF(SE168="","",IFERROR(VLOOKUP(BA168,Довідник_мінералів!$A:$B,2,0),"-"))</f>
        <v/>
      </c>
    </row>
    <row r="169">
      <c r="O169">
        <f>IF(J169="","",ROUND(J169/(1-N169/100),1))</f>
        <v/>
      </c>
      <c r="P169">
        <f>IF(K169="","",ROUND(K169/(1-N169/100),1))</f>
        <v/>
      </c>
      <c r="Q169">
        <f>IF(L169="","",ROUND(L169/(1-N169/100),1))</f>
        <v/>
      </c>
      <c r="R169">
        <f>IF(M169="","",ROUND(M169/(1-N169/100),1))</f>
        <v/>
      </c>
      <c r="AK169">
        <f>IF(AF169="","",IF(AH169="",IFERROR(VLOOKUP(AG169,Довідник_мінералів!$A:$B,2,0),"-"),ROUND(IFERROR(VLOOKUP(AG169,Довідник_мінералів!$A:$B,2,0),0)*AH169/100+IFERROR(VLOOKUP(AI169,Довідник_мінералів!$A:$B,2,0),0)*AJ169/100,0)))</f>
        <v/>
      </c>
      <c r="AQ169">
        <f>IF(AL169="","",IF(AN169="",IFERROR(VLOOKUP(AM169,Довідник_мінералів!$A:$B,2,0),"-"),ROUND(IFERROR(VLOOKUP(AM169,Довідник_мінералів!$A:$B,2,0),0)*AN169/100+IFERROR(VLOOKUP(AO169,Довідник_мінералів!$A:$B,2,0),0)*AP169/100,0)))</f>
        <v/>
      </c>
      <c r="AU169">
        <f>IF(AR169="","",IFERROR(VLOOKUP(AS169,Довідник_мінералів!$A:$B,2,0),"-"))</f>
        <v/>
      </c>
      <c r="AY169">
        <f>IF(AV169="","",IFERROR(VLOOKUP(AW169,Довідник_мінералів!$A:$B,2,0),"-"))</f>
        <v/>
      </c>
      <c r="BB169">
        <f>IF(SE169="","",IFERROR(VLOOKUP(BA169,Довідник_мінералів!$A:$B,2,0),"-"))</f>
        <v/>
      </c>
    </row>
    <row r="170">
      <c r="A170" s="9" t="n"/>
      <c r="B170" s="9" t="n"/>
      <c r="C170" s="9" t="n"/>
      <c r="D170" s="9" t="n"/>
      <c r="E170" s="9" t="n"/>
      <c r="F170" s="9" t="n"/>
      <c r="G170" s="9" t="n"/>
      <c r="H170" s="9" t="n"/>
      <c r="I170" s="9" t="n"/>
      <c r="O170">
        <f>IF(J170="","",ROUND(J170/(1-N170/100),1))</f>
        <v/>
      </c>
      <c r="P170">
        <f>IF(K170="","",ROUND(K170/(1-N170/100),1))</f>
        <v/>
      </c>
      <c r="Q170">
        <f>IF(L170="","",ROUND(L170/(1-N170/100),1))</f>
        <v/>
      </c>
      <c r="R170">
        <f>IF(M170="","",ROUND(M170/(1-N170/100),1))</f>
        <v/>
      </c>
      <c r="AK170">
        <f>IF(AF170="","",IF(AH170="",IFERROR(VLOOKUP(AG170,Довідник_мінералів!$A:$B,2,0),"-"),ROUND(IFERROR(VLOOKUP(AG170,Довідник_мінералів!$A:$B,2,0),0)*AH170/100+IFERROR(VLOOKUP(AI170,Довідник_мінералів!$A:$B,2,0),0)*AJ170/100,0)))</f>
        <v/>
      </c>
      <c r="AQ170">
        <f>IF(AL170="","",IF(AN170="",IFERROR(VLOOKUP(AM170,Довідник_мінералів!$A:$B,2,0),"-"),ROUND(IFERROR(VLOOKUP(AM170,Довідник_мінералів!$A:$B,2,0),0)*AN170/100+IFERROR(VLOOKUP(AO170,Довідник_мінералів!$A:$B,2,0),0)*AP170/100,0)))</f>
        <v/>
      </c>
      <c r="AU170">
        <f>IF(AR170="","",IFERROR(VLOOKUP(AS170,Довідник_мінералів!$A:$B,2,0),"-"))</f>
        <v/>
      </c>
      <c r="AY170">
        <f>IF(AV170="","",IFERROR(VLOOKUP(AW170,Довідник_мінералів!$A:$B,2,0),"-"))</f>
        <v/>
      </c>
      <c r="BB170">
        <f>IF(SE170="","",IFERROR(VLOOKUP(BA170,Довідник_мінералів!$A:$B,2,0),"-"))</f>
        <v/>
      </c>
    </row>
    <row r="171">
      <c r="O171">
        <f>IF(J171="","",ROUND(J171/(1-N171/100),1))</f>
        <v/>
      </c>
      <c r="P171">
        <f>IF(K171="","",ROUND(K171/(1-N171/100),1))</f>
        <v/>
      </c>
      <c r="Q171">
        <f>IF(L171="","",ROUND(L171/(1-N171/100),1))</f>
        <v/>
      </c>
      <c r="R171">
        <f>IF(M171="","",ROUND(M171/(1-N171/100),1))</f>
        <v/>
      </c>
      <c r="AK171">
        <f>IF(AF171="","",IF(AH171="",IFERROR(VLOOKUP(AG171,Довідник_мінералів!$A:$B,2,0),"-"),ROUND(IFERROR(VLOOKUP(AG171,Довідник_мінералів!$A:$B,2,0),0)*AH171/100+IFERROR(VLOOKUP(AI171,Довідник_мінералів!$A:$B,2,0),0)*AJ171/100,0)))</f>
        <v/>
      </c>
      <c r="AQ171">
        <f>IF(AL171="","",IF(AN171="",IFERROR(VLOOKUP(AM171,Довідник_мінералів!$A:$B,2,0),"-"),ROUND(IFERROR(VLOOKUP(AM171,Довідник_мінералів!$A:$B,2,0),0)*AN171/100+IFERROR(VLOOKUP(AO171,Довідник_мінералів!$A:$B,2,0),0)*AP171/100,0)))</f>
        <v/>
      </c>
      <c r="AU171">
        <f>IF(AR171="","",IFERROR(VLOOKUP(AS171,Довідник_мінералів!$A:$B,2,0),"-"))</f>
        <v/>
      </c>
      <c r="AY171">
        <f>IF(AV171="","",IFERROR(VLOOKUP(AW171,Довідник_мінералів!$A:$B,2,0),"-"))</f>
        <v/>
      </c>
      <c r="BB171">
        <f>IF(SE171="","",IFERROR(VLOOKUP(BA171,Довідник_мінералів!$A:$B,2,0),"-"))</f>
        <v/>
      </c>
    </row>
    <row r="172">
      <c r="A172" s="9" t="n"/>
      <c r="B172" s="9" t="n"/>
      <c r="C172" s="9" t="n"/>
      <c r="D172" s="9" t="n"/>
      <c r="E172" s="9" t="n"/>
      <c r="F172" s="9" t="n"/>
      <c r="G172" s="9" t="n"/>
      <c r="H172" s="9" t="n"/>
      <c r="I172" s="9" t="n"/>
      <c r="O172">
        <f>IF(J172="","",ROUND(J172/(1-N172/100),1))</f>
        <v/>
      </c>
      <c r="P172">
        <f>IF(K172="","",ROUND(K172/(1-N172/100),1))</f>
        <v/>
      </c>
      <c r="Q172">
        <f>IF(L172="","",ROUND(L172/(1-N172/100),1))</f>
        <v/>
      </c>
      <c r="R172">
        <f>IF(M172="","",ROUND(M172/(1-N172/100),1))</f>
        <v/>
      </c>
      <c r="AK172">
        <f>IF(AF172="","",IF(AH172="",IFERROR(VLOOKUP(AG172,Довідник_мінералів!$A:$B,2,0),"-"),ROUND(IFERROR(VLOOKUP(AG172,Довідник_мінералів!$A:$B,2,0),0)*AH172/100+IFERROR(VLOOKUP(AI172,Довідник_мінералів!$A:$B,2,0),0)*AJ172/100,0)))</f>
        <v/>
      </c>
      <c r="AQ172">
        <f>IF(AL172="","",IF(AN172="",IFERROR(VLOOKUP(AM172,Довідник_мінералів!$A:$B,2,0),"-"),ROUND(IFERROR(VLOOKUP(AM172,Довідник_мінералів!$A:$B,2,0),0)*AN172/100+IFERROR(VLOOKUP(AO172,Довідник_мінералів!$A:$B,2,0),0)*AP172/100,0)))</f>
        <v/>
      </c>
      <c r="AU172">
        <f>IF(AR172="","",IFERROR(VLOOKUP(AS172,Довідник_мінералів!$A:$B,2,0),"-"))</f>
        <v/>
      </c>
      <c r="AY172">
        <f>IF(AV172="","",IFERROR(VLOOKUP(AW172,Довідник_мінералів!$A:$B,2,0),"-"))</f>
        <v/>
      </c>
      <c r="BB172">
        <f>IF(SE172="","",IFERROR(VLOOKUP(BA172,Довідник_мінералів!$A:$B,2,0),"-"))</f>
        <v/>
      </c>
    </row>
    <row r="173">
      <c r="O173">
        <f>IF(J173="","",ROUND(J173/(1-N173/100),1))</f>
        <v/>
      </c>
      <c r="P173">
        <f>IF(K173="","",ROUND(K173/(1-N173/100),1))</f>
        <v/>
      </c>
      <c r="Q173">
        <f>IF(L173="","",ROUND(L173/(1-N173/100),1))</f>
        <v/>
      </c>
      <c r="R173">
        <f>IF(M173="","",ROUND(M173/(1-N173/100),1))</f>
        <v/>
      </c>
      <c r="AK173">
        <f>IF(AF173="","",IF(AH173="",IFERROR(VLOOKUP(AG173,Довідник_мінералів!$A:$B,2,0),"-"),ROUND(IFERROR(VLOOKUP(AG173,Довідник_мінералів!$A:$B,2,0),0)*AH173/100+IFERROR(VLOOKUP(AI173,Довідник_мінералів!$A:$B,2,0),0)*AJ173/100,0)))</f>
        <v/>
      </c>
      <c r="AQ173">
        <f>IF(AL173="","",IF(AN173="",IFERROR(VLOOKUP(AM173,Довідник_мінералів!$A:$B,2,0),"-"),ROUND(IFERROR(VLOOKUP(AM173,Довідник_мінералів!$A:$B,2,0),0)*AN173/100+IFERROR(VLOOKUP(AO173,Довідник_мінералів!$A:$B,2,0),0)*AP173/100,0)))</f>
        <v/>
      </c>
      <c r="AU173">
        <f>IF(AR173="","",IFERROR(VLOOKUP(AS173,Довідник_мінералів!$A:$B,2,0),"-"))</f>
        <v/>
      </c>
      <c r="AY173">
        <f>IF(AV173="","",IFERROR(VLOOKUP(AW173,Довідник_мінералів!$A:$B,2,0),"-"))</f>
        <v/>
      </c>
      <c r="BB173">
        <f>IF(SE173="","",IFERROR(VLOOKUP(BA173,Довідник_мінералів!$A:$B,2,0),"-"))</f>
        <v/>
      </c>
    </row>
    <row r="174">
      <c r="A174" s="9" t="n"/>
      <c r="B174" s="9" t="n"/>
      <c r="C174" s="9" t="n"/>
      <c r="D174" s="9" t="n"/>
      <c r="E174" s="9" t="n"/>
      <c r="F174" s="9" t="n"/>
      <c r="G174" s="9" t="n"/>
      <c r="H174" s="9" t="n"/>
      <c r="I174" s="9" t="n"/>
      <c r="O174">
        <f>IF(J174="","",ROUND(J174/(1-N174/100),1))</f>
        <v/>
      </c>
      <c r="P174">
        <f>IF(K174="","",ROUND(K174/(1-N174/100),1))</f>
        <v/>
      </c>
      <c r="Q174">
        <f>IF(L174="","",ROUND(L174/(1-N174/100),1))</f>
        <v/>
      </c>
      <c r="R174">
        <f>IF(M174="","",ROUND(M174/(1-N174/100),1))</f>
        <v/>
      </c>
      <c r="AK174">
        <f>IF(AF174="","",IF(AH174="",IFERROR(VLOOKUP(AG174,Довідник_мінералів!$A:$B,2,0),"-"),ROUND(IFERROR(VLOOKUP(AG174,Довідник_мінералів!$A:$B,2,0),0)*AH174/100+IFERROR(VLOOKUP(AI174,Довідник_мінералів!$A:$B,2,0),0)*AJ174/100,0)))</f>
        <v/>
      </c>
      <c r="AQ174">
        <f>IF(AL174="","",IF(AN174="",IFERROR(VLOOKUP(AM174,Довідник_мінералів!$A:$B,2,0),"-"),ROUND(IFERROR(VLOOKUP(AM174,Довідник_мінералів!$A:$B,2,0),0)*AN174/100+IFERROR(VLOOKUP(AO174,Довідник_мінералів!$A:$B,2,0),0)*AP174/100,0)))</f>
        <v/>
      </c>
      <c r="AU174">
        <f>IF(AR174="","",IFERROR(VLOOKUP(AS174,Довідник_мінералів!$A:$B,2,0),"-"))</f>
        <v/>
      </c>
      <c r="AY174">
        <f>IF(AV174="","",IFERROR(VLOOKUP(AW174,Довідник_мінералів!$A:$B,2,0),"-"))</f>
        <v/>
      </c>
      <c r="BB174">
        <f>IF(SE174="","",IFERROR(VLOOKUP(BA174,Довідник_мінералів!$A:$B,2,0),"-"))</f>
        <v/>
      </c>
    </row>
    <row r="175">
      <c r="O175">
        <f>IF(J175="","",ROUND(J175/(1-N175/100),1))</f>
        <v/>
      </c>
      <c r="P175">
        <f>IF(K175="","",ROUND(K175/(1-N175/100),1))</f>
        <v/>
      </c>
      <c r="Q175">
        <f>IF(L175="","",ROUND(L175/(1-N175/100),1))</f>
        <v/>
      </c>
      <c r="R175">
        <f>IF(M175="","",ROUND(M175/(1-N175/100),1))</f>
        <v/>
      </c>
      <c r="AK175">
        <f>IF(AF175="","",IF(AH175="",IFERROR(VLOOKUP(AG175,Довідник_мінералів!$A:$B,2,0),"-"),ROUND(IFERROR(VLOOKUP(AG175,Довідник_мінералів!$A:$B,2,0),0)*AH175/100+IFERROR(VLOOKUP(AI175,Довідник_мінералів!$A:$B,2,0),0)*AJ175/100,0)))</f>
        <v/>
      </c>
      <c r="AQ175">
        <f>IF(AL175="","",IF(AN175="",IFERROR(VLOOKUP(AM175,Довідник_мінералів!$A:$B,2,0),"-"),ROUND(IFERROR(VLOOKUP(AM175,Довідник_мінералів!$A:$B,2,0),0)*AN175/100+IFERROR(VLOOKUP(AO175,Довідник_мінералів!$A:$B,2,0),0)*AP175/100,0)))</f>
        <v/>
      </c>
      <c r="AU175">
        <f>IF(AR175="","",IFERROR(VLOOKUP(AS175,Довідник_мінералів!$A:$B,2,0),"-"))</f>
        <v/>
      </c>
      <c r="AY175">
        <f>IF(AV175="","",IFERROR(VLOOKUP(AW175,Довідник_мінералів!$A:$B,2,0),"-"))</f>
        <v/>
      </c>
      <c r="BB175">
        <f>IF(SE175="","",IFERROR(VLOOKUP(BA175,Довідник_мінералів!$A:$B,2,0),"-"))</f>
        <v/>
      </c>
    </row>
    <row r="176">
      <c r="A176" s="9" t="n"/>
      <c r="B176" s="9" t="n"/>
      <c r="C176" s="9" t="n"/>
      <c r="D176" s="9" t="n"/>
      <c r="E176" s="9" t="n"/>
      <c r="F176" s="9" t="n"/>
      <c r="G176" s="9" t="n"/>
      <c r="H176" s="9" t="n"/>
      <c r="I176" s="9" t="n"/>
      <c r="O176">
        <f>IF(J176="","",ROUND(J176/(1-N176/100),1))</f>
        <v/>
      </c>
      <c r="P176">
        <f>IF(K176="","",ROUND(K176/(1-N176/100),1))</f>
        <v/>
      </c>
      <c r="Q176">
        <f>IF(L176="","",ROUND(L176/(1-N176/100),1))</f>
        <v/>
      </c>
      <c r="R176">
        <f>IF(M176="","",ROUND(M176/(1-N176/100),1))</f>
        <v/>
      </c>
      <c r="AK176">
        <f>IF(AF176="","",IF(AH176="",IFERROR(VLOOKUP(AG176,Довідник_мінералів!$A:$B,2,0),"-"),ROUND(IFERROR(VLOOKUP(AG176,Довідник_мінералів!$A:$B,2,0),0)*AH176/100+IFERROR(VLOOKUP(AI176,Довідник_мінералів!$A:$B,2,0),0)*AJ176/100,0)))</f>
        <v/>
      </c>
      <c r="AQ176">
        <f>IF(AL176="","",IF(AN176="",IFERROR(VLOOKUP(AM176,Довідник_мінералів!$A:$B,2,0),"-"),ROUND(IFERROR(VLOOKUP(AM176,Довідник_мінералів!$A:$B,2,0),0)*AN176/100+IFERROR(VLOOKUP(AO176,Довідник_мінералів!$A:$B,2,0),0)*AP176/100,0)))</f>
        <v/>
      </c>
      <c r="AU176">
        <f>IF(AR176="","",IFERROR(VLOOKUP(AS176,Довідник_мінералів!$A:$B,2,0),"-"))</f>
        <v/>
      </c>
      <c r="AY176">
        <f>IF(AV176="","",IFERROR(VLOOKUP(AW176,Довідник_мінералів!$A:$B,2,0),"-"))</f>
        <v/>
      </c>
      <c r="BB176">
        <f>IF(SE176="","",IFERROR(VLOOKUP(BA176,Довідник_мінералів!$A:$B,2,0),"-"))</f>
        <v/>
      </c>
    </row>
    <row r="177">
      <c r="O177">
        <f>IF(J177="","",ROUND(J177/(1-N177/100),1))</f>
        <v/>
      </c>
      <c r="P177">
        <f>IF(K177="","",ROUND(K177/(1-N177/100),1))</f>
        <v/>
      </c>
      <c r="Q177">
        <f>IF(L177="","",ROUND(L177/(1-N177/100),1))</f>
        <v/>
      </c>
      <c r="R177">
        <f>IF(M177="","",ROUND(M177/(1-N177/100),1))</f>
        <v/>
      </c>
      <c r="AK177">
        <f>IF(AF177="","",IF(AH177="",IFERROR(VLOOKUP(AG177,Довідник_мінералів!$A:$B,2,0),"-"),ROUND(IFERROR(VLOOKUP(AG177,Довідник_мінералів!$A:$B,2,0),0)*AH177/100+IFERROR(VLOOKUP(AI177,Довідник_мінералів!$A:$B,2,0),0)*AJ177/100,0)))</f>
        <v/>
      </c>
      <c r="AQ177">
        <f>IF(AL177="","",IF(AN177="",IFERROR(VLOOKUP(AM177,Довідник_мінералів!$A:$B,2,0),"-"),ROUND(IFERROR(VLOOKUP(AM177,Довідник_мінералів!$A:$B,2,0),0)*AN177/100+IFERROR(VLOOKUP(AO177,Довідник_мінералів!$A:$B,2,0),0)*AP177/100,0)))</f>
        <v/>
      </c>
      <c r="AU177">
        <f>IF(AR177="","",IFERROR(VLOOKUP(AS177,Довідник_мінералів!$A:$B,2,0),"-"))</f>
        <v/>
      </c>
      <c r="AY177">
        <f>IF(AV177="","",IFERROR(VLOOKUP(AW177,Довідник_мінералів!$A:$B,2,0),"-"))</f>
        <v/>
      </c>
      <c r="BB177">
        <f>IF(SE177="","",IFERROR(VLOOKUP(BA177,Довідник_мінералів!$A:$B,2,0),"-"))</f>
        <v/>
      </c>
    </row>
    <row r="178">
      <c r="A178" s="9" t="n"/>
      <c r="B178" s="9" t="n"/>
      <c r="C178" s="9" t="n"/>
      <c r="D178" s="9" t="n"/>
      <c r="E178" s="9" t="n"/>
      <c r="F178" s="9" t="n"/>
      <c r="G178" s="9" t="n"/>
      <c r="H178" s="9" t="n"/>
      <c r="I178" s="9" t="n"/>
      <c r="O178">
        <f>IF(J178="","",ROUND(J178/(1-N178/100),1))</f>
        <v/>
      </c>
      <c r="P178">
        <f>IF(K178="","",ROUND(K178/(1-N178/100),1))</f>
        <v/>
      </c>
      <c r="Q178">
        <f>IF(L178="","",ROUND(L178/(1-N178/100),1))</f>
        <v/>
      </c>
      <c r="R178">
        <f>IF(M178="","",ROUND(M178/(1-N178/100),1))</f>
        <v/>
      </c>
      <c r="AK178">
        <f>IF(AF178="","",IF(AH178="",IFERROR(VLOOKUP(AG178,Довідник_мінералів!$A:$B,2,0),"-"),ROUND(IFERROR(VLOOKUP(AG178,Довідник_мінералів!$A:$B,2,0),0)*AH178/100+IFERROR(VLOOKUP(AI178,Довідник_мінералів!$A:$B,2,0),0)*AJ178/100,0)))</f>
        <v/>
      </c>
      <c r="AQ178">
        <f>IF(AL178="","",IF(AN178="",IFERROR(VLOOKUP(AM178,Довідник_мінералів!$A:$B,2,0),"-"),ROUND(IFERROR(VLOOKUP(AM178,Довідник_мінералів!$A:$B,2,0),0)*AN178/100+IFERROR(VLOOKUP(AO178,Довідник_мінералів!$A:$B,2,0),0)*AP178/100,0)))</f>
        <v/>
      </c>
      <c r="AU178">
        <f>IF(AR178="","",IFERROR(VLOOKUP(AS178,Довідник_мінералів!$A:$B,2,0),"-"))</f>
        <v/>
      </c>
      <c r="AY178">
        <f>IF(AV178="","",IFERROR(VLOOKUP(AW178,Довідник_мінералів!$A:$B,2,0),"-"))</f>
        <v/>
      </c>
      <c r="BB178">
        <f>IF(SE178="","",IFERROR(VLOOKUP(BA178,Довідник_мінералів!$A:$B,2,0),"-"))</f>
        <v/>
      </c>
    </row>
    <row r="179">
      <c r="O179">
        <f>IF(J179="","",ROUND(J179/(1-N179/100),1))</f>
        <v/>
      </c>
      <c r="P179">
        <f>IF(K179="","",ROUND(K179/(1-N179/100),1))</f>
        <v/>
      </c>
      <c r="Q179">
        <f>IF(L179="","",ROUND(L179/(1-N179/100),1))</f>
        <v/>
      </c>
      <c r="R179">
        <f>IF(M179="","",ROUND(M179/(1-N179/100),1))</f>
        <v/>
      </c>
      <c r="AK179">
        <f>IF(AF179="","",IF(AH179="",IFERROR(VLOOKUP(AG179,Довідник_мінералів!$A:$B,2,0),"-"),ROUND(IFERROR(VLOOKUP(AG179,Довідник_мінералів!$A:$B,2,0),0)*AH179/100+IFERROR(VLOOKUP(AI179,Довідник_мінералів!$A:$B,2,0),0)*AJ179/100,0)))</f>
        <v/>
      </c>
      <c r="AQ179">
        <f>IF(AL179="","",IF(AN179="",IFERROR(VLOOKUP(AM179,Довідник_мінералів!$A:$B,2,0),"-"),ROUND(IFERROR(VLOOKUP(AM179,Довідник_мінералів!$A:$B,2,0),0)*AN179/100+IFERROR(VLOOKUP(AO179,Довідник_мінералів!$A:$B,2,0),0)*AP179/100,0)))</f>
        <v/>
      </c>
      <c r="AU179">
        <f>IF(AR179="","",IFERROR(VLOOKUP(AS179,Довідник_мінералів!$A:$B,2,0),"-"))</f>
        <v/>
      </c>
      <c r="AY179">
        <f>IF(AV179="","",IFERROR(VLOOKUP(AW179,Довідник_мінералів!$A:$B,2,0),"-"))</f>
        <v/>
      </c>
      <c r="BB179">
        <f>IF(SE179="","",IFERROR(VLOOKUP(BA179,Довідник_мінералів!$A:$B,2,0),"-"))</f>
        <v/>
      </c>
    </row>
    <row r="180">
      <c r="A180" s="9" t="n"/>
      <c r="B180" s="9" t="n"/>
      <c r="C180" s="9" t="n"/>
      <c r="D180" s="9" t="n"/>
      <c r="E180" s="9" t="n"/>
      <c r="F180" s="9" t="n"/>
      <c r="G180" s="9" t="n"/>
      <c r="H180" s="9" t="n"/>
      <c r="I180" s="9" t="n"/>
      <c r="O180">
        <f>IF(J180="","",ROUND(J180/(1-N180/100),1))</f>
        <v/>
      </c>
      <c r="P180">
        <f>IF(K180="","",ROUND(K180/(1-N180/100),1))</f>
        <v/>
      </c>
      <c r="Q180">
        <f>IF(L180="","",ROUND(L180/(1-N180/100),1))</f>
        <v/>
      </c>
      <c r="R180">
        <f>IF(M180="","",ROUND(M180/(1-N180/100),1))</f>
        <v/>
      </c>
      <c r="AK180">
        <f>IF(AF180="","",IF(AH180="",IFERROR(VLOOKUP(AG180,Довідник_мінералів!$A:$B,2,0),"-"),ROUND(IFERROR(VLOOKUP(AG180,Довідник_мінералів!$A:$B,2,0),0)*AH180/100+IFERROR(VLOOKUP(AI180,Довідник_мінералів!$A:$B,2,0),0)*AJ180/100,0)))</f>
        <v/>
      </c>
      <c r="AQ180">
        <f>IF(AL180="","",IF(AN180="",IFERROR(VLOOKUP(AM180,Довідник_мінералів!$A:$B,2,0),"-"),ROUND(IFERROR(VLOOKUP(AM180,Довідник_мінералів!$A:$B,2,0),0)*AN180/100+IFERROR(VLOOKUP(AO180,Довідник_мінералів!$A:$B,2,0),0)*AP180/100,0)))</f>
        <v/>
      </c>
      <c r="AU180">
        <f>IF(AR180="","",IFERROR(VLOOKUP(AS180,Довідник_мінералів!$A:$B,2,0),"-"))</f>
        <v/>
      </c>
      <c r="AY180">
        <f>IF(AV180="","",IFERROR(VLOOKUP(AW180,Довідник_мінералів!$A:$B,2,0),"-"))</f>
        <v/>
      </c>
      <c r="BB180">
        <f>IF(SE180="","",IFERROR(VLOOKUP(BA180,Довідник_мінералів!$A:$B,2,0),"-"))</f>
        <v/>
      </c>
    </row>
    <row r="181">
      <c r="O181">
        <f>IF(J181="","",ROUND(J181/(1-N181/100),1))</f>
        <v/>
      </c>
      <c r="P181">
        <f>IF(K181="","",ROUND(K181/(1-N181/100),1))</f>
        <v/>
      </c>
      <c r="Q181">
        <f>IF(L181="","",ROUND(L181/(1-N181/100),1))</f>
        <v/>
      </c>
      <c r="R181">
        <f>IF(M181="","",ROUND(M181/(1-N181/100),1))</f>
        <v/>
      </c>
      <c r="AK181">
        <f>IF(AF181="","",IF(AH181="",IFERROR(VLOOKUP(AG181,Довідник_мінералів!$A:$B,2,0),"-"),ROUND(IFERROR(VLOOKUP(AG181,Довідник_мінералів!$A:$B,2,0),0)*AH181/100+IFERROR(VLOOKUP(AI181,Довідник_мінералів!$A:$B,2,0),0)*AJ181/100,0)))</f>
        <v/>
      </c>
      <c r="AQ181">
        <f>IF(AL181="","",IF(AN181="",IFERROR(VLOOKUP(AM181,Довідник_мінералів!$A:$B,2,0),"-"),ROUND(IFERROR(VLOOKUP(AM181,Довідник_мінералів!$A:$B,2,0),0)*AN181/100+IFERROR(VLOOKUP(AO181,Довідник_мінералів!$A:$B,2,0),0)*AP181/100,0)))</f>
        <v/>
      </c>
      <c r="AU181">
        <f>IF(AR181="","",IFERROR(VLOOKUP(AS181,Довідник_мінералів!$A:$B,2,0),"-"))</f>
        <v/>
      </c>
      <c r="AY181">
        <f>IF(AV181="","",IFERROR(VLOOKUP(AW181,Довідник_мінералів!$A:$B,2,0),"-"))</f>
        <v/>
      </c>
      <c r="BB181">
        <f>IF(SE181="","",IFERROR(VLOOKUP(BA181,Довідник_мінералів!$A:$B,2,0),"-"))</f>
        <v/>
      </c>
    </row>
    <row r="182">
      <c r="A182" s="9" t="n"/>
      <c r="B182" s="9" t="n"/>
      <c r="C182" s="9" t="n"/>
      <c r="D182" s="9" t="n"/>
      <c r="E182" s="9" t="n"/>
      <c r="F182" s="9" t="n"/>
      <c r="G182" s="9" t="n"/>
      <c r="H182" s="9" t="n"/>
      <c r="I182" s="9" t="n"/>
      <c r="O182">
        <f>IF(J182="","",ROUND(J182/(1-N182/100),1))</f>
        <v/>
      </c>
      <c r="P182">
        <f>IF(K182="","",ROUND(K182/(1-N182/100),1))</f>
        <v/>
      </c>
      <c r="Q182">
        <f>IF(L182="","",ROUND(L182/(1-N182/100),1))</f>
        <v/>
      </c>
      <c r="R182">
        <f>IF(M182="","",ROUND(M182/(1-N182/100),1))</f>
        <v/>
      </c>
      <c r="AK182">
        <f>IF(AF182="","",IF(AH182="",IFERROR(VLOOKUP(AG182,Довідник_мінералів!$A:$B,2,0),"-"),ROUND(IFERROR(VLOOKUP(AG182,Довідник_мінералів!$A:$B,2,0),0)*AH182/100+IFERROR(VLOOKUP(AI182,Довідник_мінералів!$A:$B,2,0),0)*AJ182/100,0)))</f>
        <v/>
      </c>
      <c r="AQ182">
        <f>IF(AL182="","",IF(AN182="",IFERROR(VLOOKUP(AM182,Довідник_мінералів!$A:$B,2,0),"-"),ROUND(IFERROR(VLOOKUP(AM182,Довідник_мінералів!$A:$B,2,0),0)*AN182/100+IFERROR(VLOOKUP(AO182,Довідник_мінералів!$A:$B,2,0),0)*AP182/100,0)))</f>
        <v/>
      </c>
      <c r="AU182">
        <f>IF(AR182="","",IFERROR(VLOOKUP(AS182,Довідник_мінералів!$A:$B,2,0),"-"))</f>
        <v/>
      </c>
      <c r="AY182">
        <f>IF(AV182="","",IFERROR(VLOOKUP(AW182,Довідник_мінералів!$A:$B,2,0),"-"))</f>
        <v/>
      </c>
      <c r="BB182">
        <f>IF(SE182="","",IFERROR(VLOOKUP(BA182,Довідник_мінералів!$A:$B,2,0),"-"))</f>
        <v/>
      </c>
    </row>
    <row r="183">
      <c r="O183">
        <f>IF(J183="","",ROUND(J183/(1-N183/100),1))</f>
        <v/>
      </c>
      <c r="P183">
        <f>IF(K183="","",ROUND(K183/(1-N183/100),1))</f>
        <v/>
      </c>
      <c r="Q183">
        <f>IF(L183="","",ROUND(L183/(1-N183/100),1))</f>
        <v/>
      </c>
      <c r="R183">
        <f>IF(M183="","",ROUND(M183/(1-N183/100),1))</f>
        <v/>
      </c>
      <c r="AK183">
        <f>IF(AF183="","",IF(AH183="",IFERROR(VLOOKUP(AG183,Довідник_мінералів!$A:$B,2,0),"-"),ROUND(IFERROR(VLOOKUP(AG183,Довідник_мінералів!$A:$B,2,0),0)*AH183/100+IFERROR(VLOOKUP(AI183,Довідник_мінералів!$A:$B,2,0),0)*AJ183/100,0)))</f>
        <v/>
      </c>
      <c r="AQ183">
        <f>IF(AL183="","",IF(AN183="",IFERROR(VLOOKUP(AM183,Довідник_мінералів!$A:$B,2,0),"-"),ROUND(IFERROR(VLOOKUP(AM183,Довідник_мінералів!$A:$B,2,0),0)*AN183/100+IFERROR(VLOOKUP(AO183,Довідник_мінералів!$A:$B,2,0),0)*AP183/100,0)))</f>
        <v/>
      </c>
      <c r="AU183">
        <f>IF(AR183="","",IFERROR(VLOOKUP(AS183,Довідник_мінералів!$A:$B,2,0),"-"))</f>
        <v/>
      </c>
      <c r="AY183">
        <f>IF(AV183="","",IFERROR(VLOOKUP(AW183,Довідник_мінералів!$A:$B,2,0),"-"))</f>
        <v/>
      </c>
      <c r="BB183">
        <f>IF(SE183="","",IFERROR(VLOOKUP(BA183,Довідник_мінералів!$A:$B,2,0),"-"))</f>
        <v/>
      </c>
    </row>
    <row r="184">
      <c r="A184" s="9" t="n"/>
      <c r="B184" s="9" t="n"/>
      <c r="C184" s="9" t="n"/>
      <c r="D184" s="9" t="n"/>
      <c r="E184" s="9" t="n"/>
      <c r="F184" s="9" t="n"/>
      <c r="G184" s="9" t="n"/>
      <c r="H184" s="9" t="n"/>
      <c r="I184" s="9" t="n"/>
      <c r="O184">
        <f>IF(J184="","",ROUND(J184/(1-N184/100),1))</f>
        <v/>
      </c>
      <c r="P184">
        <f>IF(K184="","",ROUND(K184/(1-N184/100),1))</f>
        <v/>
      </c>
      <c r="Q184">
        <f>IF(L184="","",ROUND(L184/(1-N184/100),1))</f>
        <v/>
      </c>
      <c r="R184">
        <f>IF(M184="","",ROUND(M184/(1-N184/100),1))</f>
        <v/>
      </c>
      <c r="AK184">
        <f>IF(AF184="","",IF(AH184="",IFERROR(VLOOKUP(AG184,Довідник_мінералів!$A:$B,2,0),"-"),ROUND(IFERROR(VLOOKUP(AG184,Довідник_мінералів!$A:$B,2,0),0)*AH184/100+IFERROR(VLOOKUP(AI184,Довідник_мінералів!$A:$B,2,0),0)*AJ184/100,0)))</f>
        <v/>
      </c>
      <c r="AQ184">
        <f>IF(AL184="","",IF(AN184="",IFERROR(VLOOKUP(AM184,Довідник_мінералів!$A:$B,2,0),"-"),ROUND(IFERROR(VLOOKUP(AM184,Довідник_мінералів!$A:$B,2,0),0)*AN184/100+IFERROR(VLOOKUP(AO184,Довідник_мінералів!$A:$B,2,0),0)*AP184/100,0)))</f>
        <v/>
      </c>
      <c r="AU184">
        <f>IF(AR184="","",IFERROR(VLOOKUP(AS184,Довідник_мінералів!$A:$B,2,0),"-"))</f>
        <v/>
      </c>
      <c r="AY184">
        <f>IF(AV184="","",IFERROR(VLOOKUP(AW184,Довідник_мінералів!$A:$B,2,0),"-"))</f>
        <v/>
      </c>
      <c r="BB184">
        <f>IF(SE184="","",IFERROR(VLOOKUP(BA184,Довідник_мінералів!$A:$B,2,0),"-"))</f>
        <v/>
      </c>
    </row>
    <row r="185">
      <c r="O185">
        <f>IF(J185="","",ROUND(J185/(1-N185/100),1))</f>
        <v/>
      </c>
      <c r="P185">
        <f>IF(K185="","",ROUND(K185/(1-N185/100),1))</f>
        <v/>
      </c>
      <c r="Q185">
        <f>IF(L185="","",ROUND(L185/(1-N185/100),1))</f>
        <v/>
      </c>
      <c r="R185">
        <f>IF(M185="","",ROUND(M185/(1-N185/100),1))</f>
        <v/>
      </c>
      <c r="AK185">
        <f>IF(AF185="","",IF(AH185="",IFERROR(VLOOKUP(AG185,Довідник_мінералів!$A:$B,2,0),"-"),ROUND(IFERROR(VLOOKUP(AG185,Довідник_мінералів!$A:$B,2,0),0)*AH185/100+IFERROR(VLOOKUP(AI185,Довідник_мінералів!$A:$B,2,0),0)*AJ185/100,0)))</f>
        <v/>
      </c>
      <c r="AQ185">
        <f>IF(AL185="","",IF(AN185="",IFERROR(VLOOKUP(AM185,Довідник_мінералів!$A:$B,2,0),"-"),ROUND(IFERROR(VLOOKUP(AM185,Довідник_мінералів!$A:$B,2,0),0)*AN185/100+IFERROR(VLOOKUP(AO185,Довідник_мінералів!$A:$B,2,0),0)*AP185/100,0)))</f>
        <v/>
      </c>
      <c r="AU185">
        <f>IF(AR185="","",IFERROR(VLOOKUP(AS185,Довідник_мінералів!$A:$B,2,0),"-"))</f>
        <v/>
      </c>
      <c r="AY185">
        <f>IF(AV185="","",IFERROR(VLOOKUP(AW185,Довідник_мінералів!$A:$B,2,0),"-"))</f>
        <v/>
      </c>
      <c r="BB185">
        <f>IF(SE185="","",IFERROR(VLOOKUP(BA185,Довідник_мінералів!$A:$B,2,0),"-"))</f>
        <v/>
      </c>
    </row>
    <row r="186">
      <c r="A186" s="9" t="n"/>
      <c r="B186" s="9" t="n"/>
      <c r="C186" s="9" t="n"/>
      <c r="D186" s="9" t="n"/>
      <c r="E186" s="9" t="n"/>
      <c r="F186" s="9" t="n"/>
      <c r="G186" s="9" t="n"/>
      <c r="H186" s="9" t="n"/>
      <c r="I186" s="9" t="n"/>
      <c r="O186">
        <f>IF(J186="","",ROUND(J186/(1-N186/100),1))</f>
        <v/>
      </c>
      <c r="P186">
        <f>IF(K186="","",ROUND(K186/(1-N186/100),1))</f>
        <v/>
      </c>
      <c r="Q186">
        <f>IF(L186="","",ROUND(L186/(1-N186/100),1))</f>
        <v/>
      </c>
      <c r="R186">
        <f>IF(M186="","",ROUND(M186/(1-N186/100),1))</f>
        <v/>
      </c>
      <c r="AK186">
        <f>IF(AF186="","",IF(AH186="",IFERROR(VLOOKUP(AG186,Довідник_мінералів!$A:$B,2,0),"-"),ROUND(IFERROR(VLOOKUP(AG186,Довідник_мінералів!$A:$B,2,0),0)*AH186/100+IFERROR(VLOOKUP(AI186,Довідник_мінералів!$A:$B,2,0),0)*AJ186/100,0)))</f>
        <v/>
      </c>
      <c r="AQ186">
        <f>IF(AL186="","",IF(AN186="",IFERROR(VLOOKUP(AM186,Довідник_мінералів!$A:$B,2,0),"-"),ROUND(IFERROR(VLOOKUP(AM186,Довідник_мінералів!$A:$B,2,0),0)*AN186/100+IFERROR(VLOOKUP(AO186,Довідник_мінералів!$A:$B,2,0),0)*AP186/100,0)))</f>
        <v/>
      </c>
      <c r="AU186">
        <f>IF(AR186="","",IFERROR(VLOOKUP(AS186,Довідник_мінералів!$A:$B,2,0),"-"))</f>
        <v/>
      </c>
      <c r="AY186">
        <f>IF(AV186="","",IFERROR(VLOOKUP(AW186,Довідник_мінералів!$A:$B,2,0),"-"))</f>
        <v/>
      </c>
      <c r="BB186">
        <f>IF(SE186="","",IFERROR(VLOOKUP(BA186,Довідник_мінералів!$A:$B,2,0),"-"))</f>
        <v/>
      </c>
    </row>
    <row r="187">
      <c r="O187">
        <f>IF(J187="","",ROUND(J187/(1-N187/100),1))</f>
        <v/>
      </c>
      <c r="P187">
        <f>IF(K187="","",ROUND(K187/(1-N187/100),1))</f>
        <v/>
      </c>
      <c r="Q187">
        <f>IF(L187="","",ROUND(L187/(1-N187/100),1))</f>
        <v/>
      </c>
      <c r="R187">
        <f>IF(M187="","",ROUND(M187/(1-N187/100),1))</f>
        <v/>
      </c>
      <c r="AK187">
        <f>IF(AF187="","",IF(AH187="",IFERROR(VLOOKUP(AG187,Довідник_мінералів!$A:$B,2,0),"-"),ROUND(IFERROR(VLOOKUP(AG187,Довідник_мінералів!$A:$B,2,0),0)*AH187/100+IFERROR(VLOOKUP(AI187,Довідник_мінералів!$A:$B,2,0),0)*AJ187/100,0)))</f>
        <v/>
      </c>
      <c r="AQ187">
        <f>IF(AL187="","",IF(AN187="",IFERROR(VLOOKUP(AM187,Довідник_мінералів!$A:$B,2,0),"-"),ROUND(IFERROR(VLOOKUP(AM187,Довідник_мінералів!$A:$B,2,0),0)*AN187/100+IFERROR(VLOOKUP(AO187,Довідник_мінералів!$A:$B,2,0),0)*AP187/100,0)))</f>
        <v/>
      </c>
      <c r="AU187">
        <f>IF(AR187="","",IFERROR(VLOOKUP(AS187,Довідник_мінералів!$A:$B,2,0),"-"))</f>
        <v/>
      </c>
      <c r="AY187">
        <f>IF(AV187="","",IFERROR(VLOOKUP(AW187,Довідник_мінералів!$A:$B,2,0),"-"))</f>
        <v/>
      </c>
      <c r="BB187">
        <f>IF(SE187="","",IFERROR(VLOOKUP(BA187,Довідник_мінералів!$A:$B,2,0),"-"))</f>
        <v/>
      </c>
    </row>
    <row r="188">
      <c r="A188" s="9" t="n"/>
      <c r="B188" s="9" t="n"/>
      <c r="C188" s="9" t="n"/>
      <c r="D188" s="9" t="n"/>
      <c r="E188" s="9" t="n"/>
      <c r="F188" s="9" t="n"/>
      <c r="G188" s="9" t="n"/>
      <c r="H188" s="9" t="n"/>
      <c r="I188" s="9" t="n"/>
      <c r="O188">
        <f>IF(J188="","",ROUND(J188/(1-N188/100),1))</f>
        <v/>
      </c>
      <c r="P188">
        <f>IF(K188="","",ROUND(K188/(1-N188/100),1))</f>
        <v/>
      </c>
      <c r="Q188">
        <f>IF(L188="","",ROUND(L188/(1-N188/100),1))</f>
        <v/>
      </c>
      <c r="R188">
        <f>IF(M188="","",ROUND(M188/(1-N188/100),1))</f>
        <v/>
      </c>
      <c r="AK188">
        <f>IF(AF188="","",IF(AH188="",IFERROR(VLOOKUP(AG188,Довідник_мінералів!$A:$B,2,0),"-"),ROUND(IFERROR(VLOOKUP(AG188,Довідник_мінералів!$A:$B,2,0),0)*AH188/100+IFERROR(VLOOKUP(AI188,Довідник_мінералів!$A:$B,2,0),0)*AJ188/100,0)))</f>
        <v/>
      </c>
      <c r="AQ188">
        <f>IF(AL188="","",IF(AN188="",IFERROR(VLOOKUP(AM188,Довідник_мінералів!$A:$B,2,0),"-"),ROUND(IFERROR(VLOOKUP(AM188,Довідник_мінералів!$A:$B,2,0),0)*AN188/100+IFERROR(VLOOKUP(AO188,Довідник_мінералів!$A:$B,2,0),0)*AP188/100,0)))</f>
        <v/>
      </c>
      <c r="AU188">
        <f>IF(AR188="","",IFERROR(VLOOKUP(AS188,Довідник_мінералів!$A:$B,2,0),"-"))</f>
        <v/>
      </c>
      <c r="AY188">
        <f>IF(AV188="","",IFERROR(VLOOKUP(AW188,Довідник_мінералів!$A:$B,2,0),"-"))</f>
        <v/>
      </c>
      <c r="BB188">
        <f>IF(SE188="","",IFERROR(VLOOKUP(BA188,Довідник_мінералів!$A:$B,2,0),"-"))</f>
        <v/>
      </c>
    </row>
    <row r="189">
      <c r="O189">
        <f>IF(J189="","",ROUND(J189/(1-N189/100),1))</f>
        <v/>
      </c>
      <c r="P189">
        <f>IF(K189="","",ROUND(K189/(1-N189/100),1))</f>
        <v/>
      </c>
      <c r="Q189">
        <f>IF(L189="","",ROUND(L189/(1-N189/100),1))</f>
        <v/>
      </c>
      <c r="R189">
        <f>IF(M189="","",ROUND(M189/(1-N189/100),1))</f>
        <v/>
      </c>
      <c r="AK189">
        <f>IF(AF189="","",IF(AH189="",IFERROR(VLOOKUP(AG189,Довідник_мінералів!$A:$B,2,0),"-"),ROUND(IFERROR(VLOOKUP(AG189,Довідник_мінералів!$A:$B,2,0),0)*AH189/100+IFERROR(VLOOKUP(AI189,Довідник_мінералів!$A:$B,2,0),0)*AJ189/100,0)))</f>
        <v/>
      </c>
      <c r="AQ189">
        <f>IF(AL189="","",IF(AN189="",IFERROR(VLOOKUP(AM189,Довідник_мінералів!$A:$B,2,0),"-"),ROUND(IFERROR(VLOOKUP(AM189,Довідник_мінералів!$A:$B,2,0),0)*AN189/100+IFERROR(VLOOKUP(AO189,Довідник_мінералів!$A:$B,2,0),0)*AP189/100,0)))</f>
        <v/>
      </c>
      <c r="AU189">
        <f>IF(AR189="","",IFERROR(VLOOKUP(AS189,Довідник_мінералів!$A:$B,2,0),"-"))</f>
        <v/>
      </c>
      <c r="AY189">
        <f>IF(AV189="","",IFERROR(VLOOKUP(AW189,Довідник_мінералів!$A:$B,2,0),"-"))</f>
        <v/>
      </c>
      <c r="BB189">
        <f>IF(SE189="","",IFERROR(VLOOKUP(BA189,Довідник_мінералів!$A:$B,2,0),"-"))</f>
        <v/>
      </c>
    </row>
    <row r="190">
      <c r="A190" s="9" t="n"/>
      <c r="B190" s="9" t="n"/>
      <c r="C190" s="9" t="n"/>
      <c r="D190" s="9" t="n"/>
      <c r="E190" s="9" t="n"/>
      <c r="F190" s="9" t="n"/>
      <c r="G190" s="9" t="n"/>
      <c r="H190" s="9" t="n"/>
      <c r="I190" s="9" t="n"/>
      <c r="O190">
        <f>IF(J190="","",ROUND(J190/(1-N190/100),1))</f>
        <v/>
      </c>
      <c r="P190">
        <f>IF(K190="","",ROUND(K190/(1-N190/100),1))</f>
        <v/>
      </c>
      <c r="Q190">
        <f>IF(L190="","",ROUND(L190/(1-N190/100),1))</f>
        <v/>
      </c>
      <c r="R190">
        <f>IF(M190="","",ROUND(M190/(1-N190/100),1))</f>
        <v/>
      </c>
      <c r="AK190">
        <f>IF(AF190="","",IF(AH190="",IFERROR(VLOOKUP(AG190,Довідник_мінералів!$A:$B,2,0),"-"),ROUND(IFERROR(VLOOKUP(AG190,Довідник_мінералів!$A:$B,2,0),0)*AH190/100+IFERROR(VLOOKUP(AI190,Довідник_мінералів!$A:$B,2,0),0)*AJ190/100,0)))</f>
        <v/>
      </c>
      <c r="AQ190">
        <f>IF(AL190="","",IF(AN190="",IFERROR(VLOOKUP(AM190,Довідник_мінералів!$A:$B,2,0),"-"),ROUND(IFERROR(VLOOKUP(AM190,Довідник_мінералів!$A:$B,2,0),0)*AN190/100+IFERROR(VLOOKUP(AO190,Довідник_мінералів!$A:$B,2,0),0)*AP190/100,0)))</f>
        <v/>
      </c>
      <c r="AU190">
        <f>IF(AR190="","",IFERROR(VLOOKUP(AS190,Довідник_мінералів!$A:$B,2,0),"-"))</f>
        <v/>
      </c>
      <c r="AY190">
        <f>IF(AV190="","",IFERROR(VLOOKUP(AW190,Довідник_мінералів!$A:$B,2,0),"-"))</f>
        <v/>
      </c>
      <c r="BB190">
        <f>IF(SE190="","",IFERROR(VLOOKUP(BA190,Довідник_мінералів!$A:$B,2,0),"-"))</f>
        <v/>
      </c>
    </row>
    <row r="191">
      <c r="O191">
        <f>IF(J191="","",ROUND(J191/(1-N191/100),1))</f>
        <v/>
      </c>
      <c r="P191">
        <f>IF(K191="","",ROUND(K191/(1-N191/100),1))</f>
        <v/>
      </c>
      <c r="Q191">
        <f>IF(L191="","",ROUND(L191/(1-N191/100),1))</f>
        <v/>
      </c>
      <c r="R191">
        <f>IF(M191="","",ROUND(M191/(1-N191/100),1))</f>
        <v/>
      </c>
      <c r="AK191">
        <f>IF(AF191="","",IF(AH191="",IFERROR(VLOOKUP(AG191,Довідник_мінералів!$A:$B,2,0),"-"),ROUND(IFERROR(VLOOKUP(AG191,Довідник_мінералів!$A:$B,2,0),0)*AH191/100+IFERROR(VLOOKUP(AI191,Довідник_мінералів!$A:$B,2,0),0)*AJ191/100,0)))</f>
        <v/>
      </c>
      <c r="AQ191">
        <f>IF(AL191="","",IF(AN191="",IFERROR(VLOOKUP(AM191,Довідник_мінералів!$A:$B,2,0),"-"),ROUND(IFERROR(VLOOKUP(AM191,Довідник_мінералів!$A:$B,2,0),0)*AN191/100+IFERROR(VLOOKUP(AO191,Довідник_мінералів!$A:$B,2,0),0)*AP191/100,0)))</f>
        <v/>
      </c>
      <c r="AU191">
        <f>IF(AR191="","",IFERROR(VLOOKUP(AS191,Довідник_мінералів!$A:$B,2,0),"-"))</f>
        <v/>
      </c>
      <c r="AY191">
        <f>IF(AV191="","",IFERROR(VLOOKUP(AW191,Довідник_мінералів!$A:$B,2,0),"-"))</f>
        <v/>
      </c>
      <c r="BB191">
        <f>IF(SE191="","",IFERROR(VLOOKUP(BA191,Довідник_мінералів!$A:$B,2,0),"-"))</f>
        <v/>
      </c>
    </row>
    <row r="192">
      <c r="A192" s="9" t="n"/>
      <c r="B192" s="9" t="n"/>
      <c r="C192" s="9" t="n"/>
      <c r="D192" s="9" t="n"/>
      <c r="E192" s="9" t="n"/>
      <c r="F192" s="9" t="n"/>
      <c r="G192" s="9" t="n"/>
      <c r="H192" s="9" t="n"/>
      <c r="I192" s="9" t="n"/>
      <c r="O192">
        <f>IF(J192="","",ROUND(J192/(1-N192/100),1))</f>
        <v/>
      </c>
      <c r="P192">
        <f>IF(K192="","",ROUND(K192/(1-N192/100),1))</f>
        <v/>
      </c>
      <c r="Q192">
        <f>IF(L192="","",ROUND(L192/(1-N192/100),1))</f>
        <v/>
      </c>
      <c r="R192">
        <f>IF(M192="","",ROUND(M192/(1-N192/100),1))</f>
        <v/>
      </c>
      <c r="AK192">
        <f>IF(AF192="","",IF(AH192="",IFERROR(VLOOKUP(AG192,Довідник_мінералів!$A:$B,2,0),"-"),ROUND(IFERROR(VLOOKUP(AG192,Довідник_мінералів!$A:$B,2,0),0)*AH192/100+IFERROR(VLOOKUP(AI192,Довідник_мінералів!$A:$B,2,0),0)*AJ192/100,0)))</f>
        <v/>
      </c>
      <c r="AQ192">
        <f>IF(AL192="","",IF(AN192="",IFERROR(VLOOKUP(AM192,Довідник_мінералів!$A:$B,2,0),"-"),ROUND(IFERROR(VLOOKUP(AM192,Довідник_мінералів!$A:$B,2,0),0)*AN192/100+IFERROR(VLOOKUP(AO192,Довідник_мінералів!$A:$B,2,0),0)*AP192/100,0)))</f>
        <v/>
      </c>
      <c r="AU192">
        <f>IF(AR192="","",IFERROR(VLOOKUP(AS192,Довідник_мінералів!$A:$B,2,0),"-"))</f>
        <v/>
      </c>
      <c r="AY192">
        <f>IF(AV192="","",IFERROR(VLOOKUP(AW192,Довідник_мінералів!$A:$B,2,0),"-"))</f>
        <v/>
      </c>
      <c r="BB192">
        <f>IF(SE192="","",IFERROR(VLOOKUP(BA192,Довідник_мінералів!$A:$B,2,0),"-"))</f>
        <v/>
      </c>
    </row>
    <row r="193">
      <c r="O193">
        <f>IF(J193="","",ROUND(J193/(1-N193/100),1))</f>
        <v/>
      </c>
      <c r="P193">
        <f>IF(K193="","",ROUND(K193/(1-N193/100),1))</f>
        <v/>
      </c>
      <c r="Q193">
        <f>IF(L193="","",ROUND(L193/(1-N193/100),1))</f>
        <v/>
      </c>
      <c r="R193">
        <f>IF(M193="","",ROUND(M193/(1-N193/100),1))</f>
        <v/>
      </c>
      <c r="AK193">
        <f>IF(AF193="","",IF(AH193="",IFERROR(VLOOKUP(AG193,Довідник_мінералів!$A:$B,2,0),"-"),ROUND(IFERROR(VLOOKUP(AG193,Довідник_мінералів!$A:$B,2,0),0)*AH193/100+IFERROR(VLOOKUP(AI193,Довідник_мінералів!$A:$B,2,0),0)*AJ193/100,0)))</f>
        <v/>
      </c>
      <c r="AQ193">
        <f>IF(AL193="","",IF(AN193="",IFERROR(VLOOKUP(AM193,Довідник_мінералів!$A:$B,2,0),"-"),ROUND(IFERROR(VLOOKUP(AM193,Довідник_мінералів!$A:$B,2,0),0)*AN193/100+IFERROR(VLOOKUP(AO193,Довідник_мінералів!$A:$B,2,0),0)*AP193/100,0)))</f>
        <v/>
      </c>
      <c r="AU193">
        <f>IF(AR193="","",IFERROR(VLOOKUP(AS193,Довідник_мінералів!$A:$B,2,0),"-"))</f>
        <v/>
      </c>
      <c r="AY193">
        <f>IF(AV193="","",IFERROR(VLOOKUP(AW193,Довідник_мінералів!$A:$B,2,0),"-"))</f>
        <v/>
      </c>
      <c r="BB193">
        <f>IF(SE193="","",IFERROR(VLOOKUP(BA193,Довідник_мінералів!$A:$B,2,0),"-"))</f>
        <v/>
      </c>
    </row>
    <row r="194">
      <c r="A194" s="9" t="n"/>
      <c r="B194" s="9" t="n"/>
      <c r="C194" s="9" t="n"/>
      <c r="D194" s="9" t="n"/>
      <c r="E194" s="9" t="n"/>
      <c r="F194" s="9" t="n"/>
      <c r="G194" s="9" t="n"/>
      <c r="H194" s="9" t="n"/>
      <c r="I194" s="9" t="n"/>
      <c r="O194">
        <f>IF(J194="","",ROUND(J194/(1-N194/100),1))</f>
        <v/>
      </c>
      <c r="P194">
        <f>IF(K194="","",ROUND(K194/(1-N194/100),1))</f>
        <v/>
      </c>
      <c r="Q194">
        <f>IF(L194="","",ROUND(L194/(1-N194/100),1))</f>
        <v/>
      </c>
      <c r="R194">
        <f>IF(M194="","",ROUND(M194/(1-N194/100),1))</f>
        <v/>
      </c>
      <c r="AK194">
        <f>IF(AF194="","",IF(AH194="",IFERROR(VLOOKUP(AG194,Довідник_мінералів!$A:$B,2,0),"-"),ROUND(IFERROR(VLOOKUP(AG194,Довідник_мінералів!$A:$B,2,0),0)*AH194/100+IFERROR(VLOOKUP(AI194,Довідник_мінералів!$A:$B,2,0),0)*AJ194/100,0)))</f>
        <v/>
      </c>
      <c r="AQ194">
        <f>IF(AL194="","",IF(AN194="",IFERROR(VLOOKUP(AM194,Довідник_мінералів!$A:$B,2,0),"-"),ROUND(IFERROR(VLOOKUP(AM194,Довідник_мінералів!$A:$B,2,0),0)*AN194/100+IFERROR(VLOOKUP(AO194,Довідник_мінералів!$A:$B,2,0),0)*AP194/100,0)))</f>
        <v/>
      </c>
      <c r="AU194">
        <f>IF(AR194="","",IFERROR(VLOOKUP(AS194,Довідник_мінералів!$A:$B,2,0),"-"))</f>
        <v/>
      </c>
      <c r="AY194">
        <f>IF(AV194="","",IFERROR(VLOOKUP(AW194,Довідник_мінералів!$A:$B,2,0),"-"))</f>
        <v/>
      </c>
      <c r="BB194">
        <f>IF(SE194="","",IFERROR(VLOOKUP(BA194,Довідник_мінералів!$A:$B,2,0),"-"))</f>
        <v/>
      </c>
    </row>
    <row r="195">
      <c r="O195">
        <f>IF(J195="","",ROUND(J195/(1-N195/100),1))</f>
        <v/>
      </c>
      <c r="P195">
        <f>IF(K195="","",ROUND(K195/(1-N195/100),1))</f>
        <v/>
      </c>
      <c r="Q195">
        <f>IF(L195="","",ROUND(L195/(1-N195/100),1))</f>
        <v/>
      </c>
      <c r="R195">
        <f>IF(M195="","",ROUND(M195/(1-N195/100),1))</f>
        <v/>
      </c>
      <c r="AK195">
        <f>IF(AF195="","",IF(AH195="",IFERROR(VLOOKUP(AG195,Довідник_мінералів!$A:$B,2,0),"-"),ROUND(IFERROR(VLOOKUP(AG195,Довідник_мінералів!$A:$B,2,0),0)*AH195/100+IFERROR(VLOOKUP(AI195,Довідник_мінералів!$A:$B,2,0),0)*AJ195/100,0)))</f>
        <v/>
      </c>
      <c r="AQ195">
        <f>IF(AL195="","",IF(AN195="",IFERROR(VLOOKUP(AM195,Довідник_мінералів!$A:$B,2,0),"-"),ROUND(IFERROR(VLOOKUP(AM195,Довідник_мінералів!$A:$B,2,0),0)*AN195/100+IFERROR(VLOOKUP(AO195,Довідник_мінералів!$A:$B,2,0),0)*AP195/100,0)))</f>
        <v/>
      </c>
      <c r="AU195">
        <f>IF(AR195="","",IFERROR(VLOOKUP(AS195,Довідник_мінералів!$A:$B,2,0),"-"))</f>
        <v/>
      </c>
      <c r="AY195">
        <f>IF(AV195="","",IFERROR(VLOOKUP(AW195,Довідник_мінералів!$A:$B,2,0),"-"))</f>
        <v/>
      </c>
      <c r="BB195">
        <f>IF(SE195="","",IFERROR(VLOOKUP(BA195,Довідник_мінералів!$A:$B,2,0),"-"))</f>
        <v/>
      </c>
    </row>
    <row r="196">
      <c r="A196" s="9" t="n"/>
      <c r="B196" s="9" t="n"/>
      <c r="C196" s="9" t="n"/>
      <c r="D196" s="9" t="n"/>
      <c r="E196" s="9" t="n"/>
      <c r="F196" s="9" t="n"/>
      <c r="G196" s="9" t="n"/>
      <c r="H196" s="9" t="n"/>
      <c r="I196" s="9" t="n"/>
      <c r="O196">
        <f>IF(J196="","",ROUND(J196/(1-N196/100),1))</f>
        <v/>
      </c>
      <c r="P196">
        <f>IF(K196="","",ROUND(K196/(1-N196/100),1))</f>
        <v/>
      </c>
      <c r="Q196">
        <f>IF(L196="","",ROUND(L196/(1-N196/100),1))</f>
        <v/>
      </c>
      <c r="R196">
        <f>IF(M196="","",ROUND(M196/(1-N196/100),1))</f>
        <v/>
      </c>
      <c r="AK196">
        <f>IF(AF196="","",IF(AH196="",IFERROR(VLOOKUP(AG196,Довідник_мінералів!$A:$B,2,0),"-"),ROUND(IFERROR(VLOOKUP(AG196,Довідник_мінералів!$A:$B,2,0),0)*AH196/100+IFERROR(VLOOKUP(AI196,Довідник_мінералів!$A:$B,2,0),0)*AJ196/100,0)))</f>
        <v/>
      </c>
      <c r="AQ196">
        <f>IF(AL196="","",IF(AN196="",IFERROR(VLOOKUP(AM196,Довідник_мінералів!$A:$B,2,0),"-"),ROUND(IFERROR(VLOOKUP(AM196,Довідник_мінералів!$A:$B,2,0),0)*AN196/100+IFERROR(VLOOKUP(AO196,Довідник_мінералів!$A:$B,2,0),0)*AP196/100,0)))</f>
        <v/>
      </c>
      <c r="AU196">
        <f>IF(AR196="","",IFERROR(VLOOKUP(AS196,Довідник_мінералів!$A:$B,2,0),"-"))</f>
        <v/>
      </c>
      <c r="AY196">
        <f>IF(AV196="","",IFERROR(VLOOKUP(AW196,Довідник_мінералів!$A:$B,2,0),"-"))</f>
        <v/>
      </c>
      <c r="BB196">
        <f>IF(SE196="","",IFERROR(VLOOKUP(BA196,Довідник_мінералів!$A:$B,2,0),"-"))</f>
        <v/>
      </c>
    </row>
    <row r="197">
      <c r="O197">
        <f>IF(J197="","",ROUND(J197/(1-N197/100),1))</f>
        <v/>
      </c>
      <c r="P197">
        <f>IF(K197="","",ROUND(K197/(1-N197/100),1))</f>
        <v/>
      </c>
      <c r="Q197">
        <f>IF(L197="","",ROUND(L197/(1-N197/100),1))</f>
        <v/>
      </c>
      <c r="R197">
        <f>IF(M197="","",ROUND(M197/(1-N197/100),1))</f>
        <v/>
      </c>
      <c r="AK197">
        <f>IF(AF197="","",IF(AH197="",IFERROR(VLOOKUP(AG197,Довідник_мінералів!$A:$B,2,0),"-"),ROUND(IFERROR(VLOOKUP(AG197,Довідник_мінералів!$A:$B,2,0),0)*AH197/100+IFERROR(VLOOKUP(AI197,Довідник_мінералів!$A:$B,2,0),0)*AJ197/100,0)))</f>
        <v/>
      </c>
      <c r="AQ197">
        <f>IF(AL197="","",IF(AN197="",IFERROR(VLOOKUP(AM197,Довідник_мінералів!$A:$B,2,0),"-"),ROUND(IFERROR(VLOOKUP(AM197,Довідник_мінералів!$A:$B,2,0),0)*AN197/100+IFERROR(VLOOKUP(AO197,Довідник_мінералів!$A:$B,2,0),0)*AP197/100,0)))</f>
        <v/>
      </c>
      <c r="AU197">
        <f>IF(AR197="","",IFERROR(VLOOKUP(AS197,Довідник_мінералів!$A:$B,2,0),"-"))</f>
        <v/>
      </c>
      <c r="AY197">
        <f>IF(AV197="","",IFERROR(VLOOKUP(AW197,Довідник_мінералів!$A:$B,2,0),"-"))</f>
        <v/>
      </c>
      <c r="BB197">
        <f>IF(SE197="","",IFERROR(VLOOKUP(BA197,Довідник_мінералів!$A:$B,2,0),"-"))</f>
        <v/>
      </c>
    </row>
    <row r="198">
      <c r="A198" s="9" t="n"/>
      <c r="B198" s="9" t="n"/>
      <c r="C198" s="9" t="n"/>
      <c r="D198" s="9" t="n"/>
      <c r="E198" s="9" t="n"/>
      <c r="F198" s="9" t="n"/>
      <c r="G198" s="9" t="n"/>
      <c r="H198" s="9" t="n"/>
      <c r="I198" s="9" t="n"/>
      <c r="O198">
        <f>IF(J198="","",ROUND(J198/(1-N198/100),1))</f>
        <v/>
      </c>
      <c r="P198">
        <f>IF(K198="","",ROUND(K198/(1-N198/100),1))</f>
        <v/>
      </c>
      <c r="Q198">
        <f>IF(L198="","",ROUND(L198/(1-N198/100),1))</f>
        <v/>
      </c>
      <c r="R198">
        <f>IF(M198="","",ROUND(M198/(1-N198/100),1))</f>
        <v/>
      </c>
      <c r="AK198">
        <f>IF(AF198="","",IF(AH198="",IFERROR(VLOOKUP(AG198,Довідник_мінералів!$A:$B,2,0),"-"),ROUND(IFERROR(VLOOKUP(AG198,Довідник_мінералів!$A:$B,2,0),0)*AH198/100+IFERROR(VLOOKUP(AI198,Довідник_мінералів!$A:$B,2,0),0)*AJ198/100,0)))</f>
        <v/>
      </c>
      <c r="AQ198">
        <f>IF(AL198="","",IF(AN198="",IFERROR(VLOOKUP(AM198,Довідник_мінералів!$A:$B,2,0),"-"),ROUND(IFERROR(VLOOKUP(AM198,Довідник_мінералів!$A:$B,2,0),0)*AN198/100+IFERROR(VLOOKUP(AO198,Довідник_мінералів!$A:$B,2,0),0)*AP198/100,0)))</f>
        <v/>
      </c>
      <c r="AU198">
        <f>IF(AR198="","",IFERROR(VLOOKUP(AS198,Довідник_мінералів!$A:$B,2,0),"-"))</f>
        <v/>
      </c>
      <c r="AY198">
        <f>IF(AV198="","",IFERROR(VLOOKUP(AW198,Довідник_мінералів!$A:$B,2,0),"-"))</f>
        <v/>
      </c>
      <c r="BB198">
        <f>IF(SE198="","",IFERROR(VLOOKUP(BA198,Довідник_мінералів!$A:$B,2,0),"-"))</f>
        <v/>
      </c>
    </row>
    <row r="199">
      <c r="O199">
        <f>IF(J199="","",ROUND(J199/(1-N199/100),1))</f>
        <v/>
      </c>
      <c r="P199">
        <f>IF(K199="","",ROUND(K199/(1-N199/100),1))</f>
        <v/>
      </c>
      <c r="Q199">
        <f>IF(L199="","",ROUND(L199/(1-N199/100),1))</f>
        <v/>
      </c>
      <c r="R199">
        <f>IF(M199="","",ROUND(M199/(1-N199/100),1))</f>
        <v/>
      </c>
      <c r="AK199">
        <f>IF(AF199="","",IF(AH199="",IFERROR(VLOOKUP(AG199,Довідник_мінералів!$A:$B,2,0),"-"),ROUND(IFERROR(VLOOKUP(AG199,Довідник_мінералів!$A:$B,2,0),0)*AH199/100+IFERROR(VLOOKUP(AI199,Довідник_мінералів!$A:$B,2,0),0)*AJ199/100,0)))</f>
        <v/>
      </c>
      <c r="AQ199">
        <f>IF(AL199="","",IF(AN199="",IFERROR(VLOOKUP(AM199,Довідник_мінералів!$A:$B,2,0),"-"),ROUND(IFERROR(VLOOKUP(AM199,Довідник_мінералів!$A:$B,2,0),0)*AN199/100+IFERROR(VLOOKUP(AO199,Довідник_мінералів!$A:$B,2,0),0)*AP199/100,0)))</f>
        <v/>
      </c>
      <c r="AU199">
        <f>IF(AR199="","",IFERROR(VLOOKUP(AS199,Довідник_мінералів!$A:$B,2,0),"-"))</f>
        <v/>
      </c>
      <c r="AY199">
        <f>IF(AV199="","",IFERROR(VLOOKUP(AW199,Довідник_мінералів!$A:$B,2,0),"-"))</f>
        <v/>
      </c>
      <c r="BB199">
        <f>IF(SE199="","",IFERROR(VLOOKUP(BA199,Довідник_мінералів!$A:$B,2,0),"-"))</f>
        <v/>
      </c>
    </row>
    <row r="200">
      <c r="A200" s="9" t="n"/>
      <c r="B200" s="9" t="n"/>
      <c r="C200" s="9" t="n"/>
      <c r="D200" s="9" t="n"/>
      <c r="E200" s="9" t="n"/>
      <c r="F200" s="9" t="n"/>
      <c r="G200" s="9" t="n"/>
      <c r="H200" s="9" t="n"/>
      <c r="I200" s="9" t="n"/>
      <c r="O200">
        <f>IF(J200="","",ROUND(J200/(1-N200/100),1))</f>
        <v/>
      </c>
      <c r="P200">
        <f>IF(K200="","",ROUND(K200/(1-N200/100),1))</f>
        <v/>
      </c>
      <c r="Q200">
        <f>IF(L200="","",ROUND(L200/(1-N200/100),1))</f>
        <v/>
      </c>
      <c r="R200">
        <f>IF(M200="","",ROUND(M200/(1-N200/100),1))</f>
        <v/>
      </c>
      <c r="AK200">
        <f>IF(AF200="","",IF(AH200="",IFERROR(VLOOKUP(AG200,Довідник_мінералів!$A:$B,2,0),"-"),ROUND(IFERROR(VLOOKUP(AG200,Довідник_мінералів!$A:$B,2,0),0)*AH200/100+IFERROR(VLOOKUP(AI200,Довідник_мінералів!$A:$B,2,0),0)*AJ200/100,0)))</f>
        <v/>
      </c>
      <c r="AQ200">
        <f>IF(AL200="","",IF(AN200="",IFERROR(VLOOKUP(AM200,Довідник_мінералів!$A:$B,2,0),"-"),ROUND(IFERROR(VLOOKUP(AM200,Довідник_мінералів!$A:$B,2,0),0)*AN200/100+IFERROR(VLOOKUP(AO200,Довідник_мінералів!$A:$B,2,0),0)*AP200/100,0)))</f>
        <v/>
      </c>
      <c r="AU200">
        <f>IF(AR200="","",IFERROR(VLOOKUP(AS200,Довідник_мінералів!$A:$B,2,0),"-"))</f>
        <v/>
      </c>
      <c r="AY200">
        <f>IF(AV200="","",IFERROR(VLOOKUP(AW200,Довідник_мінералів!$A:$B,2,0),"-"))</f>
        <v/>
      </c>
      <c r="BB200">
        <f>IF(SE200="","",IFERROR(VLOOKUP(BA200,Довідник_мінералів!$A:$B,2,0),"-"))</f>
        <v/>
      </c>
    </row>
    <row r="201">
      <c r="O201">
        <f>IF(J201="","",ROUND(J201/(1-N201/100),1))</f>
        <v/>
      </c>
      <c r="P201">
        <f>IF(K201="","",ROUND(K201/(1-N201/100),1))</f>
        <v/>
      </c>
      <c r="Q201">
        <f>IF(L201="","",ROUND(L201/(1-N201/100),1))</f>
        <v/>
      </c>
      <c r="R201">
        <f>IF(M201="","",ROUND(M201/(1-N201/100),1))</f>
        <v/>
      </c>
      <c r="AK201">
        <f>IF(AF201="","",IF(AH201="",IFERROR(VLOOKUP(AG201,Довідник_мінералів!$A:$B,2,0),"-"),ROUND(IFERROR(VLOOKUP(AG201,Довідник_мінералів!$A:$B,2,0),0)*AH201/100+IFERROR(VLOOKUP(AI201,Довідник_мінералів!$A:$B,2,0),0)*AJ201/100,0)))</f>
        <v/>
      </c>
      <c r="AQ201">
        <f>IF(AL201="","",IF(AN201="",IFERROR(VLOOKUP(AM201,Довідник_мінералів!$A:$B,2,0),"-"),ROUND(IFERROR(VLOOKUP(AM201,Довідник_мінералів!$A:$B,2,0),0)*AN201/100+IFERROR(VLOOKUP(AO201,Довідник_мінералів!$A:$B,2,0),0)*AP201/100,0)))</f>
        <v/>
      </c>
      <c r="AU201">
        <f>IF(AR201="","",IFERROR(VLOOKUP(AS201,Довідник_мінералів!$A:$B,2,0),"-"))</f>
        <v/>
      </c>
      <c r="AY201">
        <f>IF(AV201="","",IFERROR(VLOOKUP(AW201,Довідник_мінералів!$A:$B,2,0),"-"))</f>
        <v/>
      </c>
      <c r="BB201">
        <f>IF(SE201="","",IFERROR(VLOOKUP(BA201,Довідник_мінералів!$A:$B,2,0),"-"))</f>
        <v/>
      </c>
    </row>
    <row r="202">
      <c r="A202" s="9" t="n"/>
      <c r="B202" s="9" t="n"/>
      <c r="C202" s="9" t="n"/>
      <c r="D202" s="9" t="n"/>
      <c r="E202" s="9" t="n"/>
      <c r="F202" s="9" t="n"/>
      <c r="G202" s="9" t="n"/>
      <c r="H202" s="9" t="n"/>
      <c r="I202" s="9" t="n"/>
      <c r="O202">
        <f>IF(J202="","",ROUND(J202/(1-N202/100),1))</f>
        <v/>
      </c>
      <c r="P202">
        <f>IF(K202="","",ROUND(K202/(1-N202/100),1))</f>
        <v/>
      </c>
      <c r="Q202">
        <f>IF(L202="","",ROUND(L202/(1-N202/100),1))</f>
        <v/>
      </c>
      <c r="R202">
        <f>IF(M202="","",ROUND(M202/(1-N202/100),1))</f>
        <v/>
      </c>
      <c r="AK202">
        <f>IF(AF202="","",IF(AH202="",IFERROR(VLOOKUP(AG202,Довідник_мінералів!$A:$B,2,0),"-"),ROUND(IFERROR(VLOOKUP(AG202,Довідник_мінералів!$A:$B,2,0),0)*AH202/100+IFERROR(VLOOKUP(AI202,Довідник_мінералів!$A:$B,2,0),0)*AJ202/100,0)))</f>
        <v/>
      </c>
      <c r="AQ202">
        <f>IF(AL202="","",IF(AN202="",IFERROR(VLOOKUP(AM202,Довідник_мінералів!$A:$B,2,0),"-"),ROUND(IFERROR(VLOOKUP(AM202,Довідник_мінералів!$A:$B,2,0),0)*AN202/100+IFERROR(VLOOKUP(AO202,Довідник_мінералів!$A:$B,2,0),0)*AP202/100,0)))</f>
        <v/>
      </c>
      <c r="AU202">
        <f>IF(AR202="","",IFERROR(VLOOKUP(AS202,Довідник_мінералів!$A:$B,2,0),"-"))</f>
        <v/>
      </c>
      <c r="AY202">
        <f>IF(AV202="","",IFERROR(VLOOKUP(AW202,Довідник_мінералів!$A:$B,2,0),"-"))</f>
        <v/>
      </c>
      <c r="BB202">
        <f>IF(SE202="","",IFERROR(VLOOKUP(BA202,Довідник_мінералів!$A:$B,2,0),"-"))</f>
        <v/>
      </c>
    </row>
  </sheetData>
  <mergeCells count="7">
    <mergeCell ref="W1:AE1"/>
    <mergeCell ref="A1:I1"/>
    <mergeCell ref="BC1:BD1"/>
    <mergeCell ref="J1:N1"/>
    <mergeCell ref="AF1:BB1"/>
    <mergeCell ref="O1:R1"/>
    <mergeCell ref="S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14" customWidth="1" min="3" max="3"/>
    <col width="45" customWidth="1" min="4" max="4"/>
  </cols>
  <sheetData>
    <row r="1" ht="28" customHeight="1">
      <c r="A1" s="10" t="inlineStr">
        <is>
          <t>⚗️ Довідник форм мінералів та їх біодоступності</t>
        </is>
      </c>
    </row>
    <row r="2">
      <c r="A2" s="11" t="inlineStr">
        <is>
          <t>Форма мінералу</t>
        </is>
      </c>
      <c r="B2" s="11" t="inlineStr">
        <is>
          <t>Засвоєння %</t>
        </is>
      </c>
      <c r="C2" s="11" t="inlineStr">
        <is>
          <t>Категорія</t>
        </is>
      </c>
      <c r="D2" s="11" t="inlineStr">
        <is>
          <t>Примітка</t>
        </is>
      </c>
    </row>
    <row r="3">
      <c r="A3" s="12" t="inlineStr">
        <is>
          <t>оксид цинку</t>
        </is>
      </c>
      <c r="B3" s="13" t="n">
        <v>15</v>
      </c>
      <c r="C3" s="14" t="inlineStr">
        <is>
          <t>Оксид</t>
        </is>
      </c>
      <c r="D3" s="12" t="inlineStr">
        <is>
          <t>ZnO — низька біодоступність</t>
        </is>
      </c>
    </row>
    <row r="4">
      <c r="A4" s="12" t="inlineStr">
        <is>
          <t>оксид міді</t>
        </is>
      </c>
      <c r="B4" s="13" t="n">
        <v>15</v>
      </c>
      <c r="C4" s="14" t="inlineStr">
        <is>
          <t>Оксид</t>
        </is>
      </c>
      <c r="D4" s="12" t="inlineStr">
        <is>
          <t>CuO — майже не засвоюється</t>
        </is>
      </c>
    </row>
    <row r="5">
      <c r="A5" s="12" t="inlineStr">
        <is>
          <t>оксид марганцю</t>
        </is>
      </c>
      <c r="B5" s="13" t="n">
        <v>15</v>
      </c>
      <c r="C5" s="14" t="inlineStr">
        <is>
          <t>Оксид</t>
        </is>
      </c>
      <c r="D5" s="12" t="inlineStr">
        <is>
          <t>MnO — низька біодоступність</t>
        </is>
      </c>
    </row>
    <row r="6">
      <c r="A6" s="12" t="inlineStr">
        <is>
          <t>оксид заліза</t>
        </is>
      </c>
      <c r="B6" s="13" t="n">
        <v>10</v>
      </c>
      <c r="C6" s="14" t="inlineStr">
        <is>
          <t>Оксид</t>
        </is>
      </c>
      <c r="D6" s="12" t="inlineStr">
        <is>
          <t>Fe2O3 — мінімальне засвоєння</t>
        </is>
      </c>
    </row>
    <row r="7">
      <c r="A7" s="15" t="inlineStr">
        <is>
          <t>сульфат цинку</t>
        </is>
      </c>
      <c r="B7" s="16" t="n">
        <v>35</v>
      </c>
      <c r="C7" s="17" t="inlineStr">
        <is>
          <t>Сульфат</t>
        </is>
      </c>
      <c r="D7" s="15" t="inlineStr">
        <is>
          <t>ZnSO4 — помірне засвоєння</t>
        </is>
      </c>
    </row>
    <row r="8">
      <c r="A8" s="15" t="inlineStr">
        <is>
          <t>сульфат міді</t>
        </is>
      </c>
      <c r="B8" s="16" t="n">
        <v>35</v>
      </c>
      <c r="C8" s="17" t="inlineStr">
        <is>
          <t>Сульфат</t>
        </is>
      </c>
      <c r="D8" s="15" t="inlineStr">
        <is>
          <t>CuSO4 — помірне засвоєння</t>
        </is>
      </c>
    </row>
    <row r="9">
      <c r="A9" s="15" t="inlineStr">
        <is>
          <t>сульфат марганцю</t>
        </is>
      </c>
      <c r="B9" s="16" t="n">
        <v>35</v>
      </c>
      <c r="C9" s="17" t="inlineStr">
        <is>
          <t>Сульфат</t>
        </is>
      </c>
      <c r="D9" s="15" t="inlineStr">
        <is>
          <t>MnSO4 — помірне засвоєння</t>
        </is>
      </c>
    </row>
    <row r="10">
      <c r="A10" s="15" t="inlineStr">
        <is>
          <t>сульфат заліза</t>
        </is>
      </c>
      <c r="B10" s="16" t="n">
        <v>30</v>
      </c>
      <c r="C10" s="17" t="inlineStr">
        <is>
          <t>Сульфат</t>
        </is>
      </c>
      <c r="D10" s="15" t="inlineStr">
        <is>
          <t>FeSO4 — помірне засвоєння</t>
        </is>
      </c>
    </row>
    <row r="11">
      <c r="A11" s="15" t="inlineStr">
        <is>
          <t>сульфат заліза (II)</t>
        </is>
      </c>
      <c r="B11" s="16" t="n">
        <v>30</v>
      </c>
      <c r="C11" s="17" t="inlineStr">
        <is>
          <t>Сульфат</t>
        </is>
      </c>
      <c r="D11" s="15" t="inlineStr">
        <is>
          <t>FeSO4·7H2O</t>
        </is>
      </c>
    </row>
    <row r="12">
      <c r="A12" s="18" t="inlineStr">
        <is>
          <t>карбонат кальцію</t>
        </is>
      </c>
      <c r="B12" s="19" t="n">
        <v>35</v>
      </c>
      <c r="C12" s="20" t="inlineStr">
        <is>
          <t>Карбонат</t>
        </is>
      </c>
      <c r="D12" s="18" t="inlineStr">
        <is>
          <t>CaCO3 — залежить від pH</t>
        </is>
      </c>
    </row>
    <row r="13">
      <c r="A13" s="18" t="inlineStr">
        <is>
          <t>карбонат цинку</t>
        </is>
      </c>
      <c r="B13" s="19" t="n">
        <v>30</v>
      </c>
      <c r="C13" s="20" t="inlineStr">
        <is>
          <t>Карбонат</t>
        </is>
      </c>
      <c r="D13" s="18" t="inlineStr">
        <is>
          <t>ZnCO3</t>
        </is>
      </c>
    </row>
    <row r="14">
      <c r="A14" s="21" t="inlineStr">
        <is>
          <t>хелат цинку</t>
        </is>
      </c>
      <c r="B14" s="22" t="n">
        <v>80</v>
      </c>
      <c r="C14" s="23" t="inlineStr">
        <is>
          <t>Хелат</t>
        </is>
      </c>
      <c r="D14" s="21" t="inlineStr">
        <is>
          <t>Zinc chelate — висока біодоступність</t>
        </is>
      </c>
    </row>
    <row r="15">
      <c r="A15" s="21" t="inlineStr">
        <is>
          <t>хелат міді</t>
        </is>
      </c>
      <c r="B15" s="22" t="n">
        <v>80</v>
      </c>
      <c r="C15" s="23" t="inlineStr">
        <is>
          <t>Хелат</t>
        </is>
      </c>
      <c r="D15" s="21" t="inlineStr">
        <is>
          <t>Copper chelate</t>
        </is>
      </c>
    </row>
    <row r="16">
      <c r="A16" s="21" t="inlineStr">
        <is>
          <t>хелат марганцю</t>
        </is>
      </c>
      <c r="B16" s="22" t="n">
        <v>80</v>
      </c>
      <c r="C16" s="23" t="inlineStr">
        <is>
          <t>Хелат</t>
        </is>
      </c>
      <c r="D16" s="21" t="inlineStr">
        <is>
          <t>Manganese chelate</t>
        </is>
      </c>
    </row>
    <row r="17">
      <c r="A17" s="21" t="inlineStr">
        <is>
          <t>хелат заліза</t>
        </is>
      </c>
      <c r="B17" s="22" t="n">
        <v>75</v>
      </c>
      <c r="C17" s="23" t="inlineStr">
        <is>
          <t>Хелат</t>
        </is>
      </c>
      <c r="D17" s="21" t="inlineStr">
        <is>
          <t>Iron chelate</t>
        </is>
      </c>
    </row>
    <row r="18">
      <c r="A18" s="21" t="inlineStr">
        <is>
          <t>протеїнат цинку</t>
        </is>
      </c>
      <c r="B18" s="22" t="n">
        <v>80</v>
      </c>
      <c r="C18" s="23" t="inlineStr">
        <is>
          <t>Протеїнат</t>
        </is>
      </c>
      <c r="D18" s="21" t="inlineStr">
        <is>
          <t>Zinc proteinate</t>
        </is>
      </c>
    </row>
    <row r="19">
      <c r="A19" s="21" t="inlineStr">
        <is>
          <t>протеїнат міді</t>
        </is>
      </c>
      <c r="B19" s="22" t="n">
        <v>80</v>
      </c>
      <c r="C19" s="23" t="inlineStr">
        <is>
          <t>Протеїнат</t>
        </is>
      </c>
      <c r="D19" s="21" t="inlineStr">
        <is>
          <t>Copper proteinate</t>
        </is>
      </c>
    </row>
    <row r="20">
      <c r="A20" s="21" t="inlineStr">
        <is>
          <t>протеїнат марганцю</t>
        </is>
      </c>
      <c r="B20" s="22" t="n">
        <v>80</v>
      </c>
      <c r="C20" s="23" t="inlineStr">
        <is>
          <t>Протеїнат</t>
        </is>
      </c>
      <c r="D20" s="21" t="inlineStr">
        <is>
          <t>Manganese proteinate</t>
        </is>
      </c>
    </row>
    <row r="21">
      <c r="A21" s="21" t="inlineStr">
        <is>
          <t>протеїнат заліза</t>
        </is>
      </c>
      <c r="B21" s="22" t="n">
        <v>75</v>
      </c>
      <c r="C21" s="23" t="inlineStr">
        <is>
          <t>Протеїнат</t>
        </is>
      </c>
      <c r="D21" s="21" t="inlineStr">
        <is>
          <t>Iron proteinate</t>
        </is>
      </c>
    </row>
    <row r="22">
      <c r="A22" s="24" t="inlineStr">
        <is>
          <t>гліцинат цинку</t>
        </is>
      </c>
      <c r="B22" s="25" t="n">
        <v>90</v>
      </c>
      <c r="C22" s="26" t="inlineStr">
        <is>
          <t>Гліцинат</t>
        </is>
      </c>
      <c r="D22" s="24" t="inlineStr">
        <is>
          <t>Zinc glycinate — найвища біодоступність</t>
        </is>
      </c>
    </row>
    <row r="23">
      <c r="A23" s="24" t="inlineStr">
        <is>
          <t>гліцинат міді</t>
        </is>
      </c>
      <c r="B23" s="25" t="n">
        <v>90</v>
      </c>
      <c r="C23" s="26" t="inlineStr">
        <is>
          <t>Гліцинат</t>
        </is>
      </c>
      <c r="D23" s="24" t="inlineStr">
        <is>
          <t>Copper glycinate</t>
        </is>
      </c>
    </row>
    <row r="24">
      <c r="A24" s="24" t="inlineStr">
        <is>
          <t>гліцинат заліза</t>
        </is>
      </c>
      <c r="B24" s="25" t="n">
        <v>85</v>
      </c>
      <c r="C24" s="26" t="inlineStr">
        <is>
          <t>Гліцинат</t>
        </is>
      </c>
      <c r="D24" s="24" t="inlineStr">
        <is>
          <t>Iron glycinate — ferrous glycinate</t>
        </is>
      </c>
    </row>
    <row r="25">
      <c r="A25" s="27" t="inlineStr">
        <is>
          <t>йодид калію</t>
        </is>
      </c>
      <c r="B25" s="28" t="n">
        <v>90</v>
      </c>
      <c r="C25" s="29" t="inlineStr">
        <is>
          <t>Йодид</t>
        </is>
      </c>
      <c r="D25" s="27" t="inlineStr">
        <is>
          <t>KI — добре засвоюється</t>
        </is>
      </c>
    </row>
    <row r="26">
      <c r="A26" s="27" t="inlineStr">
        <is>
          <t>йодат кальцію</t>
        </is>
      </c>
      <c r="B26" s="28" t="n">
        <v>85</v>
      </c>
      <c r="C26" s="29" t="inlineStr">
        <is>
          <t>Йодат</t>
        </is>
      </c>
      <c r="D26" s="27" t="inlineStr">
        <is>
          <t>Ca(IO3)2 — стабільна форма</t>
        </is>
      </c>
    </row>
    <row r="27">
      <c r="A27" s="30" t="inlineStr">
        <is>
          <t>селеніт натрію</t>
        </is>
      </c>
      <c r="B27" s="31" t="n">
        <v>55</v>
      </c>
      <c r="C27" s="32" t="inlineStr">
        <is>
          <t>Селеніт</t>
        </is>
      </c>
      <c r="D27" s="30" t="inlineStr">
        <is>
          <t>Na2SeO3 — неорганічний</t>
        </is>
      </c>
    </row>
    <row r="28">
      <c r="A28" s="30" t="inlineStr">
        <is>
          <t>селенат натрію</t>
        </is>
      </c>
      <c r="B28" s="31" t="n">
        <v>60</v>
      </c>
      <c r="C28" s="32" t="inlineStr">
        <is>
          <t>Селенат</t>
        </is>
      </c>
      <c r="D28" s="30" t="inlineStr">
        <is>
          <t>Na2SeO4</t>
        </is>
      </c>
    </row>
    <row r="29">
      <c r="A29" s="33" t="inlineStr">
        <is>
          <t>селен дріжджовий</t>
        </is>
      </c>
      <c r="B29" s="34" t="n">
        <v>85</v>
      </c>
      <c r="C29" s="35" t="inlineStr">
        <is>
          <t>Органічний</t>
        </is>
      </c>
      <c r="D29" s="33" t="inlineStr">
        <is>
          <t>Se-enriched yeast — найкраща форма</t>
        </is>
      </c>
    </row>
    <row r="30">
      <c r="A30" s="33" t="inlineStr">
        <is>
          <t>селенізовані дріжджі</t>
        </is>
      </c>
      <c r="B30" s="34" t="n">
        <v>85</v>
      </c>
      <c r="C30" s="35" t="inlineStr">
        <is>
          <t>Органічний</t>
        </is>
      </c>
      <c r="D30" s="33" t="inlineStr">
        <is>
          <t>Selenised yeast</t>
        </is>
      </c>
    </row>
    <row r="31">
      <c r="A31" s="15" t="inlineStr">
        <is>
          <t>моногідрат сульфату цинку</t>
        </is>
      </c>
      <c r="B31" s="16" t="n">
        <v>35</v>
      </c>
      <c r="C31" s="17" t="inlineStr">
        <is>
          <t>Сульфат</t>
        </is>
      </c>
      <c r="D31" s="15" t="inlineStr">
        <is>
          <t>ZnSO4·H2O</t>
        </is>
      </c>
    </row>
    <row r="32">
      <c r="A32" s="15" t="inlineStr">
        <is>
          <t>моногідрат сульфату міді</t>
        </is>
      </c>
      <c r="B32" s="16" t="n">
        <v>35</v>
      </c>
      <c r="C32" s="17" t="inlineStr">
        <is>
          <t>Сульфат</t>
        </is>
      </c>
      <c r="D32" s="15" t="inlineStr">
        <is>
          <t>CuSO4·H2O</t>
        </is>
      </c>
    </row>
    <row r="33">
      <c r="A33" s="15" t="inlineStr">
        <is>
          <t>моногідрат сульфату марганцю</t>
        </is>
      </c>
      <c r="B33" s="16" t="n">
        <v>35</v>
      </c>
      <c r="C33" s="17" t="inlineStr">
        <is>
          <t>Сульфат</t>
        </is>
      </c>
      <c r="D33" s="15" t="inlineStr">
        <is>
          <t>MnSO4·H2O</t>
        </is>
      </c>
    </row>
    <row r="34">
      <c r="A34" s="21" t="inlineStr">
        <is>
          <t>цинк аналог гідроксиметіоніну</t>
        </is>
      </c>
      <c r="B34" s="22" t="n">
        <v>82</v>
      </c>
      <c r="C34" s="23" t="inlineStr">
        <is>
          <t>Хелат</t>
        </is>
      </c>
      <c r="D34" s="21" t="inlineStr">
        <is>
          <t>Zinc methionine hydroxy analogue chelate</t>
        </is>
      </c>
    </row>
    <row r="35">
      <c r="A35" s="21" t="inlineStr">
        <is>
          <t>мідь аналог гідроксиметіоніну</t>
        </is>
      </c>
      <c r="B35" s="22" t="n">
        <v>82</v>
      </c>
      <c r="C35" s="23" t="inlineStr">
        <is>
          <t>Хелат</t>
        </is>
      </c>
      <c r="D35" s="21" t="inlineStr">
        <is>
          <t>Copper methionine hydroxy analogue chelate</t>
        </is>
      </c>
    </row>
    <row r="36">
      <c r="A36" s="21" t="inlineStr">
        <is>
          <t>марганець аналог гідроксиметіоніну</t>
        </is>
      </c>
      <c r="B36" s="22" t="n">
        <v>82</v>
      </c>
      <c r="C36" s="23" t="inlineStr">
        <is>
          <t>Хелат</t>
        </is>
      </c>
      <c r="D36" s="21" t="inlineStr">
        <is>
          <t>Manganese methionine hydroxy analogue chelate</t>
        </is>
      </c>
    </row>
    <row r="37">
      <c r="A37" s="21" t="inlineStr">
        <is>
          <t>залізо хелат гліцину</t>
        </is>
      </c>
      <c r="B37" s="22" t="n">
        <v>78</v>
      </c>
      <c r="C37" s="23" t="inlineStr">
        <is>
          <t>Хелат</t>
        </is>
      </c>
      <c r="D37" s="21" t="inlineStr">
        <is>
          <t>Ferrous chelate of glycine hydrate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80" customWidth="1" min="1" max="1"/>
  </cols>
  <sheetData>
    <row r="1" ht="24" customHeight="1">
      <c r="A1" s="36" t="inlineStr">
        <is>
          <t>🗂️ ІНСТРУКЦІЯ З ЗАПОВНЕННЯ БАЗИ КОРМІВ</t>
        </is>
      </c>
    </row>
    <row r="2" ht="18" customHeight="1">
      <c r="A2" s="37" t="inlineStr"/>
    </row>
    <row r="3" ht="24" customHeight="1">
      <c r="A3" s="38" t="inlineStr">
        <is>
          <t>📋 АРКУШ «База кормів»</t>
        </is>
      </c>
    </row>
    <row r="4" ht="18" customHeight="1">
      <c r="A4" s="37" t="inlineStr">
        <is>
          <t>Кожен рядок = один корм. Заповнюй по черзі, бренд за брендом.</t>
        </is>
      </c>
    </row>
    <row r="5" ht="18" customHeight="1">
      <c r="A5" s="37" t="inlineStr"/>
    </row>
    <row r="6" ht="18" customHeight="1">
      <c r="A6" s="39" t="inlineStr">
        <is>
          <t>ОСНОВНА ІНФОРМАЦІЯ (колонки A-I):</t>
        </is>
      </c>
    </row>
    <row r="7" ht="18" customHeight="1">
      <c r="A7" s="40" t="inlineStr">
        <is>
          <t xml:space="preserve">  • ID — унікальний код: rc_gi_wet_cat, farmina_nd_prime_cat тощо</t>
        </is>
      </c>
    </row>
    <row r="8" ht="18" customHeight="1">
      <c r="A8" s="40" t="inlineStr">
        <is>
          <t xml:space="preserve">  • Тип — 'сухий' або 'вологий'</t>
        </is>
      </c>
    </row>
    <row r="9" ht="18" customHeight="1">
      <c r="A9" s="40" t="inlineStr">
        <is>
          <t xml:space="preserve">  • Для кого — 'кіт', 'собака' або 'обоє'</t>
        </is>
      </c>
    </row>
    <row r="10" ht="18" customHeight="1">
      <c r="A10" s="40" t="inlineStr">
        <is>
          <t xml:space="preserve">  • Призначення — 'здоровий', 'ШКТ', 'нирки', 'вага', 'алергія', 'МКХ', 'панкреатит'</t>
        </is>
      </c>
    </row>
    <row r="11" ht="18" customHeight="1">
      <c r="A11" s="37" t="inlineStr"/>
    </row>
    <row r="12" ht="18" customHeight="1">
      <c r="A12" s="41" t="inlineStr">
        <is>
          <t>АНАЛІТИЧНИЙ СКЛАД (колонки J-N):</t>
        </is>
      </c>
    </row>
    <row r="13" ht="18" customHeight="1">
      <c r="A13" s="40" t="inlineStr">
        <is>
          <t xml:space="preserve">  • Вводь значення AS FED — як вказано на упаковці або сайті</t>
        </is>
      </c>
    </row>
    <row r="14" ht="18" customHeight="1">
      <c r="A14" s="40" t="inlineStr">
        <is>
          <t xml:space="preserve">  • Колонки O-R (DM) розраховуються АВТОМАТИЧНО за формулою: % as fed ÷ (1 - вологість%/100)</t>
        </is>
      </c>
    </row>
    <row r="15" ht="18" customHeight="1">
      <c r="A15" s="37" t="inlineStr"/>
    </row>
    <row r="16" ht="18" customHeight="1">
      <c r="A16" s="42" t="inlineStr">
        <is>
          <t>ІНГРЕДІЄНТИ (колонки S-V):</t>
        </is>
      </c>
    </row>
    <row r="17" ht="18" customHeight="1">
      <c r="A17" s="40" t="inlineStr">
        <is>
          <t xml:space="preserve">  • Повний склад — копіюй повністю з сайту виробника</t>
        </is>
      </c>
    </row>
    <row r="18" ht="18" customHeight="1">
      <c r="A18" s="40" t="inlineStr">
        <is>
          <t xml:space="preserve">  • Джерело білка 1/2/3 — перші три білкових інгредієнти (для фільтру алергенів)</t>
        </is>
      </c>
    </row>
    <row r="19" ht="18" customHeight="1">
      <c r="A19" s="37" t="inlineStr"/>
    </row>
    <row r="20" ht="18" customHeight="1">
      <c r="A20" s="43" t="inlineStr">
        <is>
          <t>МІНЕРАЛИ (колонки AF-BB):</t>
        </is>
      </c>
    </row>
    <row r="21" ht="18" customHeight="1">
      <c r="A21" s="40" t="inlineStr">
        <is>
          <t xml:space="preserve">  • Форма — пиши точно як у довіднику (аркуш Довідник_мінералів)</t>
        </is>
      </c>
    </row>
    <row r="22" ht="18" customHeight="1">
      <c r="A22" s="40" t="inlineStr">
        <is>
          <t xml:space="preserve">  • % форми — якщо два джерела, вкажи розподіл (напр. 60% і 40%)</t>
        </is>
      </c>
    </row>
    <row r="23" ht="18" customHeight="1">
      <c r="A23" s="40" t="inlineStr">
        <is>
          <t xml:space="preserve">  • Засвоєння % — розраховується АВТОМАТИЧНО з довідника</t>
        </is>
      </c>
    </row>
    <row r="24" ht="18" customHeight="1">
      <c r="A24" s="40" t="inlineStr">
        <is>
          <t xml:space="preserve">  • Якщо форма є в складі, але % невідомий — залиш % порожнім,</t>
        </is>
      </c>
    </row>
    <row r="25" ht="18" customHeight="1">
      <c r="A25" s="40" t="inlineStr">
        <is>
          <t xml:space="preserve">    тоді засвоєння береться тільки від форми 1</t>
        </is>
      </c>
    </row>
    <row r="26" ht="18" customHeight="1">
      <c r="A26" s="37" t="inlineStr"/>
    </row>
    <row r="27" ht="24" customHeight="1">
      <c r="A27" s="44" t="inlineStr">
        <is>
          <t>📋 АРКУШ «Довідник_мінералів»</t>
        </is>
      </c>
    </row>
    <row r="28" ht="18" customHeight="1">
      <c r="A28" s="40" t="inlineStr">
        <is>
          <t xml:space="preserve">  • Містить всі форми мінералів і їх % засвоєння</t>
        </is>
      </c>
    </row>
    <row r="29" ht="18" customHeight="1">
      <c r="A29" s="40" t="inlineStr">
        <is>
          <t xml:space="preserve">  • Можна додавати нові форми в кінець списку</t>
        </is>
      </c>
    </row>
    <row r="30" ht="18" customHeight="1">
      <c r="A30" s="40" t="inlineStr">
        <is>
          <t xml:space="preserve">  • Формули в колонці AK, AQ і т.д. підтягують засвоєння автоматично через VLOOKUP</t>
        </is>
      </c>
    </row>
    <row r="31" ht="18" customHeight="1">
      <c r="A31" s="37" t="inlineStr"/>
    </row>
    <row r="32" ht="18" customHeight="1">
      <c r="A32" s="45" t="inlineStr">
        <is>
          <t>🔴 ВАЖЛИВО:</t>
        </is>
      </c>
    </row>
    <row r="33" ht="18" customHeight="1">
      <c r="A33" s="40" t="inlineStr">
        <is>
          <t xml:space="preserve">  • Всі дані беремо тільки з офіційних сайтів виробників або упаковки</t>
        </is>
      </c>
    </row>
    <row r="34" ht="18" customHeight="1">
      <c r="A34" s="40" t="inlineStr">
        <is>
          <t xml:space="preserve">  • Якщо дані відсутні — залишаємо комірку ПОРОЖНЬОЮ (не пишемо 0 або '-')</t>
        </is>
      </c>
    </row>
    <row r="35" ht="18" customHeight="1">
      <c r="A35" s="40" t="inlineStr">
        <is>
          <t xml:space="preserve">  • Джерело (URL) — обов'язково для кожного корму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2026-06-23T09:23:39Z</dcterms:created>
  <dcterms:modified xmlns:dcterms="http://purl.org/dc/terms/" xmlns:xsi="http://www.w3.org/2001/XMLSchema-instance" xsi:type="dcterms:W3CDTF">2026-06-23T11:17:41Z</dcterms:modified>
</cp:coreProperties>
</file>